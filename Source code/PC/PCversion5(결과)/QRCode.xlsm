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120" yWindow="105" windowWidth="23715" windowHeight="94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2" i="1"/>
  <c r="F2" i="1" s="1"/>
  <c r="F158" i="1"/>
  <c r="F155" i="1"/>
  <c r="F151" i="1"/>
  <c r="F150" i="1"/>
  <c r="F146" i="1"/>
  <c r="F142" i="1"/>
  <c r="F139" i="1"/>
  <c r="F138" i="1"/>
  <c r="F131" i="1"/>
  <c r="F130" i="1"/>
  <c r="F126" i="1"/>
  <c r="F123" i="1"/>
  <c r="F122" i="1"/>
  <c r="F115" i="1"/>
  <c r="F114" i="1"/>
  <c r="F111" i="1"/>
  <c r="F110" i="1"/>
  <c r="F106" i="1"/>
  <c r="F99" i="1"/>
  <c r="F98" i="1"/>
  <c r="F95" i="1"/>
  <c r="F94" i="1"/>
  <c r="F90" i="1"/>
  <c r="F83" i="1"/>
  <c r="F82" i="1"/>
  <c r="F79" i="1"/>
  <c r="F78" i="1"/>
  <c r="F74" i="1"/>
  <c r="F67" i="1"/>
  <c r="F66" i="1"/>
  <c r="F63" i="1"/>
  <c r="F62" i="1"/>
  <c r="F58" i="1"/>
  <c r="F51" i="1"/>
  <c r="F50" i="1"/>
  <c r="F47" i="1"/>
  <c r="F46" i="1"/>
  <c r="F42" i="1"/>
  <c r="F35" i="1"/>
  <c r="F34" i="1"/>
  <c r="F31" i="1"/>
  <c r="F30" i="1"/>
  <c r="F26" i="1"/>
  <c r="F19" i="1"/>
  <c r="F18" i="1"/>
  <c r="F15" i="1"/>
  <c r="F14" i="1"/>
  <c r="F10" i="1"/>
  <c r="F3" i="1"/>
  <c r="F117" i="1"/>
  <c r="F125" i="1"/>
  <c r="F129" i="1"/>
  <c r="F133" i="1"/>
  <c r="F137" i="1"/>
  <c r="F141" i="1"/>
  <c r="F145" i="1"/>
  <c r="F147" i="1"/>
  <c r="F148" i="1"/>
  <c r="F149" i="1"/>
  <c r="F156" i="1"/>
  <c r="F157" i="1"/>
  <c r="F161" i="1"/>
  <c r="F140" i="1"/>
  <c r="F152" i="1"/>
  <c r="F153" i="1"/>
  <c r="F159" i="1"/>
  <c r="F154" i="1"/>
  <c r="F134" i="1"/>
  <c r="F118" i="1"/>
  <c r="F102" i="1"/>
  <c r="F86" i="1"/>
  <c r="F70" i="1"/>
  <c r="F54" i="1"/>
  <c r="F38" i="1"/>
  <c r="F22" i="1"/>
  <c r="F6" i="1"/>
  <c r="F4" i="1"/>
  <c r="F5" i="1"/>
  <c r="F7" i="1"/>
  <c r="F8" i="1"/>
  <c r="F9" i="1"/>
  <c r="F11" i="1"/>
  <c r="F12" i="1"/>
  <c r="F13" i="1"/>
  <c r="F16" i="1"/>
  <c r="F17" i="1"/>
  <c r="F20" i="1"/>
  <c r="F21" i="1"/>
  <c r="F23" i="1"/>
  <c r="F24" i="1"/>
  <c r="F25" i="1"/>
  <c r="F27" i="1"/>
  <c r="F28" i="1"/>
  <c r="F29" i="1"/>
  <c r="F32" i="1"/>
  <c r="F33" i="1"/>
  <c r="F36" i="1"/>
  <c r="F37" i="1"/>
  <c r="F39" i="1"/>
  <c r="F40" i="1"/>
  <c r="F41" i="1"/>
  <c r="F43" i="1"/>
  <c r="F44" i="1"/>
  <c r="F45" i="1"/>
  <c r="F48" i="1"/>
  <c r="F49" i="1"/>
  <c r="F52" i="1"/>
  <c r="F53" i="1"/>
  <c r="F55" i="1"/>
  <c r="F56" i="1"/>
  <c r="F57" i="1"/>
  <c r="F59" i="1"/>
  <c r="F60" i="1"/>
  <c r="F61" i="1"/>
  <c r="F64" i="1"/>
  <c r="F65" i="1"/>
  <c r="F68" i="1"/>
  <c r="F69" i="1"/>
  <c r="F71" i="1"/>
  <c r="F72" i="1"/>
  <c r="F73" i="1"/>
  <c r="F75" i="1"/>
  <c r="F76" i="1"/>
  <c r="F77" i="1"/>
  <c r="F80" i="1"/>
  <c r="F81" i="1"/>
  <c r="F84" i="1"/>
  <c r="F85" i="1"/>
  <c r="F87" i="1"/>
  <c r="F88" i="1"/>
  <c r="F89" i="1"/>
  <c r="F91" i="1"/>
  <c r="F92" i="1"/>
  <c r="F93" i="1"/>
  <c r="F96" i="1"/>
  <c r="F97" i="1"/>
  <c r="F100" i="1"/>
  <c r="F101" i="1"/>
  <c r="F103" i="1"/>
  <c r="F104" i="1"/>
  <c r="F105" i="1"/>
  <c r="F107" i="1"/>
  <c r="F108" i="1"/>
  <c r="F109" i="1"/>
  <c r="F112" i="1"/>
  <c r="F113" i="1"/>
  <c r="F116" i="1"/>
  <c r="F119" i="1"/>
  <c r="F120" i="1"/>
  <c r="F121" i="1"/>
  <c r="F124" i="1"/>
  <c r="F127" i="1"/>
  <c r="F128" i="1"/>
  <c r="F132" i="1"/>
  <c r="F135" i="1"/>
  <c r="F136" i="1"/>
  <c r="F143" i="1"/>
  <c r="F144" i="1"/>
  <c r="F160" i="1"/>
  <c r="G14" i="1" l="1"/>
  <c r="G46" i="1"/>
  <c r="G94" i="1"/>
  <c r="G18" i="1"/>
  <c r="G66" i="1"/>
  <c r="G22" i="1"/>
  <c r="G38" i="1"/>
  <c r="G70" i="1"/>
  <c r="G86" i="1"/>
  <c r="G118" i="1"/>
  <c r="G10" i="1"/>
  <c r="G26" i="1"/>
  <c r="G42" i="1"/>
  <c r="G58" i="1"/>
  <c r="G74" i="1"/>
  <c r="G90" i="1"/>
  <c r="G106" i="1"/>
  <c r="G122" i="1"/>
  <c r="G138" i="1"/>
  <c r="G30" i="1"/>
  <c r="G78" i="1"/>
  <c r="G126" i="1"/>
  <c r="G62" i="1"/>
  <c r="G110" i="1"/>
  <c r="G50" i="1"/>
  <c r="G98" i="1"/>
  <c r="G130" i="1"/>
  <c r="G34" i="1"/>
  <c r="G82" i="1"/>
  <c r="G114" i="1"/>
  <c r="G6" i="1"/>
  <c r="G54" i="1"/>
  <c r="G102" i="1"/>
  <c r="G134" i="1"/>
  <c r="G142" i="1"/>
  <c r="G150" i="1"/>
  <c r="G154" i="1"/>
  <c r="G146" i="1"/>
  <c r="G158" i="1"/>
  <c r="G2" i="1"/>
  <c r="E2" i="1"/>
  <c r="E12" i="1"/>
  <c r="E14" i="1"/>
  <c r="E15" i="1"/>
  <c r="E16" i="1"/>
  <c r="E20" i="1"/>
  <c r="E23" i="1"/>
  <c r="E24" i="1"/>
  <c r="E26" i="1"/>
  <c r="E27" i="1"/>
  <c r="E28" i="1"/>
  <c r="E31" i="1"/>
  <c r="E32" i="1"/>
  <c r="E34" i="1"/>
  <c r="E35" i="1"/>
  <c r="E36" i="1"/>
  <c r="E39" i="1"/>
  <c r="E40" i="1"/>
  <c r="E42" i="1"/>
  <c r="E43" i="1"/>
  <c r="E44" i="1"/>
  <c r="E47" i="1"/>
  <c r="E48" i="1"/>
  <c r="E50" i="1"/>
  <c r="E51" i="1"/>
  <c r="E52" i="1"/>
  <c r="E55" i="1"/>
  <c r="E56" i="1"/>
  <c r="E58" i="1"/>
  <c r="E59" i="1"/>
  <c r="E60" i="1"/>
  <c r="E63" i="1"/>
  <c r="E64" i="1"/>
  <c r="E66" i="1"/>
  <c r="E67" i="1"/>
  <c r="E68" i="1"/>
  <c r="E71" i="1"/>
  <c r="E72" i="1"/>
  <c r="E74" i="1"/>
  <c r="E75" i="1"/>
  <c r="E76" i="1"/>
  <c r="E79" i="1"/>
  <c r="E80" i="1"/>
  <c r="E81" i="1"/>
  <c r="E82" i="1"/>
  <c r="E83" i="1"/>
  <c r="E84" i="1"/>
  <c r="E85" i="1"/>
  <c r="E87" i="1"/>
  <c r="E88" i="1"/>
  <c r="E89" i="1"/>
  <c r="E90" i="1"/>
  <c r="E91" i="1"/>
  <c r="E92" i="1"/>
  <c r="E93" i="1"/>
  <c r="E95" i="1"/>
  <c r="E96" i="1"/>
  <c r="E98" i="1"/>
  <c r="E99" i="1"/>
  <c r="E100" i="1"/>
  <c r="E101" i="1"/>
  <c r="E103" i="1"/>
  <c r="E104" i="1"/>
  <c r="E105" i="1"/>
  <c r="E107" i="1"/>
  <c r="E108" i="1"/>
  <c r="E109" i="1"/>
  <c r="E110" i="1"/>
  <c r="E111" i="1"/>
  <c r="E112" i="1"/>
  <c r="E113" i="1"/>
  <c r="E115" i="1"/>
  <c r="E116" i="1"/>
  <c r="E117" i="1"/>
  <c r="E119" i="1"/>
  <c r="E120" i="1"/>
  <c r="E121" i="1"/>
  <c r="E123" i="1"/>
  <c r="E124" i="1"/>
  <c r="E125" i="1"/>
  <c r="E126" i="1"/>
  <c r="E127" i="1"/>
  <c r="E128" i="1"/>
  <c r="E129" i="1"/>
  <c r="E131" i="1"/>
  <c r="E132" i="1"/>
  <c r="E133" i="1"/>
  <c r="E135" i="1"/>
  <c r="E136" i="1"/>
  <c r="E137" i="1"/>
  <c r="E139" i="1"/>
  <c r="E140" i="1"/>
  <c r="E141" i="1"/>
  <c r="E142" i="1"/>
  <c r="E143" i="1"/>
  <c r="E144" i="1"/>
  <c r="E145" i="1"/>
  <c r="E147" i="1"/>
  <c r="E148" i="1"/>
  <c r="E149" i="1"/>
  <c r="E151" i="1"/>
  <c r="E152" i="1"/>
  <c r="E153" i="1"/>
  <c r="E155" i="1"/>
  <c r="E156" i="1"/>
  <c r="E157" i="1"/>
  <c r="E158" i="1"/>
  <c r="E159" i="1"/>
  <c r="E160" i="1"/>
  <c r="E161" i="1"/>
  <c r="E6" i="1"/>
  <c r="E7" i="1"/>
  <c r="E8" i="1"/>
  <c r="E9" i="1"/>
  <c r="E10" i="1"/>
  <c r="E11" i="1"/>
  <c r="E13" i="1"/>
  <c r="E17" i="1"/>
  <c r="E18" i="1"/>
  <c r="E19" i="1"/>
  <c r="E21" i="1"/>
  <c r="E22" i="1"/>
  <c r="E25" i="1"/>
  <c r="E29" i="1"/>
  <c r="E30" i="1"/>
  <c r="E33" i="1"/>
  <c r="E37" i="1"/>
  <c r="E38" i="1"/>
  <c r="E41" i="1"/>
  <c r="E45" i="1"/>
  <c r="E46" i="1"/>
  <c r="E49" i="1"/>
  <c r="E53" i="1"/>
  <c r="E54" i="1"/>
  <c r="E57" i="1"/>
  <c r="E61" i="1"/>
  <c r="E62" i="1"/>
  <c r="E65" i="1"/>
  <c r="E69" i="1"/>
  <c r="E70" i="1"/>
  <c r="E73" i="1"/>
  <c r="E77" i="1"/>
  <c r="E78" i="1"/>
  <c r="E86" i="1"/>
  <c r="E94" i="1"/>
  <c r="E97" i="1"/>
  <c r="E102" i="1"/>
  <c r="E106" i="1"/>
  <c r="E114" i="1"/>
  <c r="E118" i="1"/>
  <c r="E122" i="1"/>
  <c r="E130" i="1"/>
  <c r="E134" i="1"/>
  <c r="E138" i="1"/>
  <c r="E146" i="1"/>
  <c r="E150" i="1"/>
  <c r="E154" i="1"/>
  <c r="E3" i="1"/>
  <c r="E4" i="1"/>
  <c r="E5" i="1"/>
  <c r="J2" i="1" l="1"/>
</calcChain>
</file>

<file path=xl/sharedStrings.xml><?xml version="1.0" encoding="utf-8"?>
<sst xmlns="http://schemas.openxmlformats.org/spreadsheetml/2006/main" count="173" uniqueCount="16">
  <si>
    <t>L</t>
  </si>
  <si>
    <t>M</t>
  </si>
  <si>
    <t>Q</t>
  </si>
  <si>
    <t>H</t>
  </si>
  <si>
    <t>L</t>
    <phoneticPr fontId="2" type="noConversion"/>
  </si>
  <si>
    <t>M</t>
    <phoneticPr fontId="2" type="noConversion"/>
  </si>
  <si>
    <t>Q</t>
    <phoneticPr fontId="2" type="noConversion"/>
  </si>
  <si>
    <t>버전</t>
    <phoneticPr fontId="2" type="noConversion"/>
  </si>
  <si>
    <t>오류 복원 레벨</t>
    <phoneticPr fontId="2" type="noConversion"/>
  </si>
  <si>
    <t>표현 가능한 영숫자 길이</t>
    <phoneticPr fontId="2" type="noConversion"/>
  </si>
  <si>
    <t>ECL Factors</t>
    <phoneticPr fontId="2" type="noConversion"/>
  </si>
  <si>
    <t>버전 별 평균 사용률</t>
    <phoneticPr fontId="2" type="noConversion"/>
  </si>
  <si>
    <t>계산된 영숫자 길이</t>
    <phoneticPr fontId="2" type="noConversion"/>
  </si>
  <si>
    <t>계산값 사용 가능 여부</t>
    <phoneticPr fontId="2" type="noConversion"/>
  </si>
  <si>
    <t>사용률</t>
    <phoneticPr fontId="2" type="noConversion"/>
  </si>
  <si>
    <t>전체 사용 가능 여부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</si>
</sst>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00"/>
  </numFmts>
  <fonts count="5">
    <font>
      <sz val="11"/>
      <color theme="1"/>
      <name val="맑은 고딕"/>
      <family val="2"/>
      <charset val="129"/>
      <scheme val="minor"/>
    </font>
    <font>
      <sz val="11"/>
      <color rgb="FF333333"/>
      <name val="Helvetica"/>
      <family val="2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10" fontId="4" fillId="2" borderId="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4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4" fillId="0" borderId="0" xfId="0" applyFont="1" applyFill="1" applyBorder="1" applyAlignment="1">
      <alignment vertical="top" wrapText="1"/>
    </xf>
    <xf numFmtId="0" fontId="1" fillId="0" borderId="0" xfId="0" applyFont="1" applyFill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center"/>
    </xf>
    <xf numFmtId="10" fontId="4" fillId="2" borderId="1" xfId="1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1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61"/>
  <sheetViews>
    <sheetView tabSelected="1" workbookViewId="0"/>
  </sheetViews>
  <sheetFormatPr defaultRowHeight="16.5"/>
  <cols>
    <col min="1" max="1" width="5.25" bestFit="1" customWidth="1"/>
    <col min="2" max="2" width="14.375" bestFit="1" customWidth="1"/>
    <col min="3" max="3" width="23.5" bestFit="1" customWidth="1"/>
    <col min="4" max="4" width="18.625" bestFit="1" customWidth="1"/>
    <col min="5" max="5" width="21.375" bestFit="1" customWidth="1"/>
    <col min="6" max="6" width="8.5" bestFit="1" customWidth="1"/>
    <col min="7" max="7" width="19.25" bestFit="1" customWidth="1"/>
    <col min="8" max="8" width="3.25" style="2" bestFit="1" customWidth="1"/>
    <col min="9" max="9" width="9.5" style="2" bestFit="1" customWidth="1"/>
    <col min="10" max="10" width="19.25" style="2" bestFit="1" customWidth="1"/>
    <col min="11" max="16384" width="9" style="2"/>
  </cols>
  <sheetData>
    <row r="1" spans="1:10" s="4" customFormat="1">
      <c r="A1" s="8" t="s">
        <v>7</v>
      </c>
      <c r="B1" s="8" t="s">
        <v>8</v>
      </c>
      <c r="C1" s="8" t="s">
        <v>9</v>
      </c>
      <c r="D1" s="9" t="s">
        <v>12</v>
      </c>
      <c r="E1" s="9" t="s">
        <v>13</v>
      </c>
      <c r="F1" s="9" t="s">
        <v>14</v>
      </c>
      <c r="G1" s="9" t="s">
        <v>11</v>
      </c>
      <c r="H1" s="7" t="s">
        <v>10</v>
      </c>
      <c r="I1" s="7"/>
      <c r="J1" s="11" t="s">
        <v>15</v>
      </c>
    </row>
    <row r="2" spans="1:10" s="4" customFormat="1">
      <c r="A2" s="8">
        <v>1</v>
      </c>
      <c r="B2" s="8" t="s">
        <v>0</v>
      </c>
      <c r="C2" s="8">
        <v>25</v>
      </c>
      <c r="D2" s="9">
        <f>CEILING(POWER(A2+2,2)*VLOOKUP(B2,$H$2:$I$5,2,FALSE), 1)</f>
        <v>22</v>
      </c>
      <c r="E2" s="9" t="str">
        <f>IF(D2&gt;C2, "X", "O")</f>
        <v>O</v>
      </c>
      <c r="F2" s="10">
        <f>D2/C2</f>
        <v>0.88</v>
      </c>
      <c r="G2" s="1">
        <f>AVERAGE(F2:F5)</f>
        <v>0.89812500000000006</v>
      </c>
      <c r="H2" s="9" t="s">
        <v>4</v>
      </c>
      <c r="I2" s="12">
        <v>2.4312900000000002</v>
      </c>
      <c r="J2" s="11" t="str">
        <f>IF(COUNTIF(E2:E161,"X") = 0, "O", "X")</f>
        <v>O</v>
      </c>
    </row>
    <row r="3" spans="1:10" s="4" customFormat="1">
      <c r="A3" s="8">
        <v>1</v>
      </c>
      <c r="B3" s="8" t="s">
        <v>1</v>
      </c>
      <c r="C3" s="8">
        <v>20</v>
      </c>
      <c r="D3" s="9">
        <f t="shared" ref="D3:D66" si="0">CEILING(POWER(A3+2,2)*VLOOKUP(B3,$H$2:$I$5,2,FALSE), 1)</f>
        <v>18</v>
      </c>
      <c r="E3" s="9" t="str">
        <f t="shared" ref="E3:E66" si="1">IF(D3&gt;C3, "X", "O")</f>
        <v>O</v>
      </c>
      <c r="F3" s="10">
        <f t="shared" ref="F3:F66" si="2">D3/C3</f>
        <v>0.9</v>
      </c>
      <c r="G3" s="1"/>
      <c r="H3" s="9" t="s">
        <v>5</v>
      </c>
      <c r="I3" s="9">
        <v>1.902695</v>
      </c>
    </row>
    <row r="4" spans="1:10" s="4" customFormat="1">
      <c r="A4" s="8">
        <v>1</v>
      </c>
      <c r="B4" s="8" t="s">
        <v>2</v>
      </c>
      <c r="C4" s="8">
        <v>16</v>
      </c>
      <c r="D4" s="9">
        <f t="shared" si="0"/>
        <v>13</v>
      </c>
      <c r="E4" s="9" t="str">
        <f t="shared" si="1"/>
        <v>O</v>
      </c>
      <c r="F4" s="10">
        <f t="shared" si="2"/>
        <v>0.8125</v>
      </c>
      <c r="G4" s="1"/>
      <c r="H4" s="9" t="s">
        <v>6</v>
      </c>
      <c r="I4" s="9">
        <v>1.3614949999999999</v>
      </c>
    </row>
    <row r="5" spans="1:10" s="4" customFormat="1">
      <c r="A5" s="8">
        <v>1</v>
      </c>
      <c r="B5" s="8" t="s">
        <v>3</v>
      </c>
      <c r="C5" s="8">
        <v>10</v>
      </c>
      <c r="D5" s="9">
        <f t="shared" si="0"/>
        <v>10</v>
      </c>
      <c r="E5" s="9" t="str">
        <f t="shared" si="1"/>
        <v>O</v>
      </c>
      <c r="F5" s="10">
        <f t="shared" si="2"/>
        <v>1</v>
      </c>
      <c r="G5" s="1"/>
      <c r="H5" s="13" t="s">
        <v>3</v>
      </c>
      <c r="I5" s="14">
        <v>1.0362499999999999</v>
      </c>
    </row>
    <row r="6" spans="1:10" s="4" customFormat="1">
      <c r="A6" s="8">
        <v>2</v>
      </c>
      <c r="B6" s="8" t="s">
        <v>0</v>
      </c>
      <c r="C6" s="8">
        <v>47</v>
      </c>
      <c r="D6" s="9">
        <f t="shared" si="0"/>
        <v>39</v>
      </c>
      <c r="E6" s="9" t="str">
        <f t="shared" si="1"/>
        <v>O</v>
      </c>
      <c r="F6" s="10">
        <f t="shared" si="2"/>
        <v>0.82978723404255317</v>
      </c>
      <c r="G6" s="1">
        <f>AVERAGE(F6:F9)</f>
        <v>0.81354934934548406</v>
      </c>
      <c r="H6" s="3"/>
      <c r="I6" s="3"/>
    </row>
    <row r="7" spans="1:10" s="4" customFormat="1">
      <c r="A7" s="8">
        <v>2</v>
      </c>
      <c r="B7" s="8" t="s">
        <v>1</v>
      </c>
      <c r="C7" s="8">
        <v>38</v>
      </c>
      <c r="D7" s="9">
        <f t="shared" si="0"/>
        <v>31</v>
      </c>
      <c r="E7" s="9" t="str">
        <f t="shared" si="1"/>
        <v>O</v>
      </c>
      <c r="F7" s="10">
        <f t="shared" si="2"/>
        <v>0.81578947368421051</v>
      </c>
      <c r="G7" s="1"/>
      <c r="H7" s="3"/>
      <c r="I7" s="3"/>
    </row>
    <row r="8" spans="1:10" s="4" customFormat="1">
      <c r="A8" s="8">
        <v>2</v>
      </c>
      <c r="B8" s="8" t="s">
        <v>2</v>
      </c>
      <c r="C8" s="8">
        <v>29</v>
      </c>
      <c r="D8" s="9">
        <f t="shared" si="0"/>
        <v>22</v>
      </c>
      <c r="E8" s="9" t="str">
        <f t="shared" si="1"/>
        <v>O</v>
      </c>
      <c r="F8" s="10">
        <f t="shared" si="2"/>
        <v>0.75862068965517238</v>
      </c>
      <c r="G8" s="1"/>
      <c r="H8" s="3"/>
      <c r="I8" s="3"/>
    </row>
    <row r="9" spans="1:10" s="4" customFormat="1">
      <c r="A9" s="8">
        <v>2</v>
      </c>
      <c r="B9" s="8" t="s">
        <v>3</v>
      </c>
      <c r="C9" s="8">
        <v>20</v>
      </c>
      <c r="D9" s="9">
        <f t="shared" si="0"/>
        <v>17</v>
      </c>
      <c r="E9" s="9" t="str">
        <f t="shared" si="1"/>
        <v>O</v>
      </c>
      <c r="F9" s="10">
        <f t="shared" si="2"/>
        <v>0.85</v>
      </c>
      <c r="G9" s="1"/>
      <c r="H9" s="3"/>
      <c r="I9" s="3"/>
    </row>
    <row r="10" spans="1:10" s="4" customFormat="1">
      <c r="A10" s="8">
        <v>3</v>
      </c>
      <c r="B10" s="8" t="s">
        <v>0</v>
      </c>
      <c r="C10" s="8">
        <v>77</v>
      </c>
      <c r="D10" s="9">
        <f t="shared" si="0"/>
        <v>61</v>
      </c>
      <c r="E10" s="9" t="str">
        <f t="shared" si="1"/>
        <v>O</v>
      </c>
      <c r="F10" s="10">
        <f t="shared" si="2"/>
        <v>0.79220779220779225</v>
      </c>
      <c r="G10" s="1">
        <f>AVERAGE(F10:F13)</f>
        <v>0.76665775800760105</v>
      </c>
      <c r="H10" s="3"/>
      <c r="I10" s="3"/>
    </row>
    <row r="11" spans="1:10" s="4" customFormat="1">
      <c r="A11" s="8">
        <v>3</v>
      </c>
      <c r="B11" s="8" t="s">
        <v>1</v>
      </c>
      <c r="C11" s="8">
        <v>61</v>
      </c>
      <c r="D11" s="9">
        <f t="shared" si="0"/>
        <v>48</v>
      </c>
      <c r="E11" s="9" t="str">
        <f t="shared" si="1"/>
        <v>O</v>
      </c>
      <c r="F11" s="10">
        <f t="shared" si="2"/>
        <v>0.78688524590163933</v>
      </c>
      <c r="G11" s="1"/>
      <c r="H11" s="3"/>
      <c r="I11" s="3"/>
    </row>
    <row r="12" spans="1:10" s="4" customFormat="1">
      <c r="A12" s="8">
        <v>3</v>
      </c>
      <c r="B12" s="8" t="s">
        <v>2</v>
      </c>
      <c r="C12" s="8">
        <v>47</v>
      </c>
      <c r="D12" s="9">
        <f t="shared" si="0"/>
        <v>35</v>
      </c>
      <c r="E12" s="9" t="str">
        <f t="shared" si="1"/>
        <v>O</v>
      </c>
      <c r="F12" s="10">
        <f t="shared" si="2"/>
        <v>0.74468085106382975</v>
      </c>
      <c r="G12" s="1"/>
      <c r="H12" s="3"/>
      <c r="I12" s="3"/>
    </row>
    <row r="13" spans="1:10" s="4" customFormat="1">
      <c r="A13" s="8">
        <v>3</v>
      </c>
      <c r="B13" s="8" t="s">
        <v>3</v>
      </c>
      <c r="C13" s="8">
        <v>35</v>
      </c>
      <c r="D13" s="9">
        <f t="shared" si="0"/>
        <v>26</v>
      </c>
      <c r="E13" s="9" t="str">
        <f t="shared" si="1"/>
        <v>O</v>
      </c>
      <c r="F13" s="10">
        <f t="shared" si="2"/>
        <v>0.74285714285714288</v>
      </c>
      <c r="G13" s="1"/>
      <c r="H13" s="3"/>
      <c r="I13" s="3"/>
    </row>
    <row r="14" spans="1:10" s="4" customFormat="1">
      <c r="A14" s="8">
        <v>4</v>
      </c>
      <c r="B14" s="8" t="s">
        <v>0</v>
      </c>
      <c r="C14" s="8">
        <v>114</v>
      </c>
      <c r="D14" s="9">
        <f t="shared" si="0"/>
        <v>88</v>
      </c>
      <c r="E14" s="9" t="str">
        <f t="shared" si="1"/>
        <v>O</v>
      </c>
      <c r="F14" s="10">
        <f t="shared" si="2"/>
        <v>0.77192982456140347</v>
      </c>
      <c r="G14" s="1">
        <f t="shared" ref="G14" si="3">AVERAGE(F14:F17)</f>
        <v>0.76121628698612209</v>
      </c>
      <c r="H14" s="3"/>
      <c r="I14" s="3"/>
    </row>
    <row r="15" spans="1:10" s="4" customFormat="1">
      <c r="A15" s="8">
        <v>4</v>
      </c>
      <c r="B15" s="8" t="s">
        <v>1</v>
      </c>
      <c r="C15" s="8">
        <v>90</v>
      </c>
      <c r="D15" s="9">
        <f t="shared" si="0"/>
        <v>69</v>
      </c>
      <c r="E15" s="9" t="str">
        <f t="shared" si="1"/>
        <v>O</v>
      </c>
      <c r="F15" s="10">
        <f t="shared" si="2"/>
        <v>0.76666666666666672</v>
      </c>
      <c r="G15" s="1"/>
      <c r="H15" s="3"/>
      <c r="I15" s="3"/>
    </row>
    <row r="16" spans="1:10" s="4" customFormat="1">
      <c r="A16" s="8">
        <v>4</v>
      </c>
      <c r="B16" s="8" t="s">
        <v>2</v>
      </c>
      <c r="C16" s="8">
        <v>67</v>
      </c>
      <c r="D16" s="9">
        <f t="shared" si="0"/>
        <v>50</v>
      </c>
      <c r="E16" s="9" t="str">
        <f t="shared" si="1"/>
        <v>O</v>
      </c>
      <c r="F16" s="10">
        <f t="shared" si="2"/>
        <v>0.74626865671641796</v>
      </c>
      <c r="G16" s="1"/>
      <c r="H16" s="3"/>
      <c r="I16" s="3"/>
    </row>
    <row r="17" spans="1:9" s="4" customFormat="1">
      <c r="A17" s="8">
        <v>4</v>
      </c>
      <c r="B17" s="8" t="s">
        <v>3</v>
      </c>
      <c r="C17" s="8">
        <v>50</v>
      </c>
      <c r="D17" s="9">
        <f t="shared" si="0"/>
        <v>38</v>
      </c>
      <c r="E17" s="9" t="str">
        <f t="shared" si="1"/>
        <v>O</v>
      </c>
      <c r="F17" s="10">
        <f t="shared" si="2"/>
        <v>0.76</v>
      </c>
      <c r="G17" s="1"/>
      <c r="H17" s="3"/>
      <c r="I17" s="3"/>
    </row>
    <row r="18" spans="1:9" s="4" customFormat="1">
      <c r="A18" s="8">
        <v>5</v>
      </c>
      <c r="B18" s="8" t="s">
        <v>0</v>
      </c>
      <c r="C18" s="8">
        <v>154</v>
      </c>
      <c r="D18" s="9">
        <f t="shared" si="0"/>
        <v>120</v>
      </c>
      <c r="E18" s="9" t="str">
        <f t="shared" si="1"/>
        <v>O</v>
      </c>
      <c r="F18" s="10">
        <f t="shared" si="2"/>
        <v>0.77922077922077926</v>
      </c>
      <c r="G18" s="1">
        <f t="shared" ref="G18" si="4">AVERAGE(F18:F21)</f>
        <v>0.7791756312570508</v>
      </c>
      <c r="H18" s="3"/>
      <c r="I18" s="3"/>
    </row>
    <row r="19" spans="1:9" s="4" customFormat="1">
      <c r="A19" s="8">
        <v>5</v>
      </c>
      <c r="B19" s="8" t="s">
        <v>1</v>
      </c>
      <c r="C19" s="8">
        <v>122</v>
      </c>
      <c r="D19" s="9">
        <f t="shared" si="0"/>
        <v>94</v>
      </c>
      <c r="E19" s="9" t="str">
        <f t="shared" si="1"/>
        <v>O</v>
      </c>
      <c r="F19" s="10">
        <f t="shared" si="2"/>
        <v>0.77049180327868849</v>
      </c>
      <c r="G19" s="1"/>
      <c r="H19" s="3"/>
      <c r="I19" s="3"/>
    </row>
    <row r="20" spans="1:9" s="4" customFormat="1">
      <c r="A20" s="8">
        <v>5</v>
      </c>
      <c r="B20" s="8" t="s">
        <v>2</v>
      </c>
      <c r="C20" s="8">
        <v>87</v>
      </c>
      <c r="D20" s="9">
        <f t="shared" si="0"/>
        <v>67</v>
      </c>
      <c r="E20" s="9" t="str">
        <f t="shared" si="1"/>
        <v>O</v>
      </c>
      <c r="F20" s="10">
        <f t="shared" si="2"/>
        <v>0.77011494252873558</v>
      </c>
      <c r="G20" s="1"/>
      <c r="H20" s="3"/>
      <c r="I20" s="3"/>
    </row>
    <row r="21" spans="1:9" s="4" customFormat="1">
      <c r="A21" s="8">
        <v>5</v>
      </c>
      <c r="B21" s="8" t="s">
        <v>3</v>
      </c>
      <c r="C21" s="8">
        <v>64</v>
      </c>
      <c r="D21" s="9">
        <f t="shared" si="0"/>
        <v>51</v>
      </c>
      <c r="E21" s="9" t="str">
        <f t="shared" si="1"/>
        <v>O</v>
      </c>
      <c r="F21" s="10">
        <f t="shared" si="2"/>
        <v>0.796875</v>
      </c>
      <c r="G21" s="1"/>
      <c r="H21" s="3"/>
      <c r="I21" s="3"/>
    </row>
    <row r="22" spans="1:9" s="4" customFormat="1">
      <c r="A22" s="8">
        <v>6</v>
      </c>
      <c r="B22" s="8" t="s">
        <v>0</v>
      </c>
      <c r="C22" s="8">
        <v>195</v>
      </c>
      <c r="D22" s="9">
        <f t="shared" si="0"/>
        <v>156</v>
      </c>
      <c r="E22" s="9" t="str">
        <f t="shared" si="1"/>
        <v>O</v>
      </c>
      <c r="F22" s="10">
        <f t="shared" si="2"/>
        <v>0.8</v>
      </c>
      <c r="G22" s="1">
        <f t="shared" ref="G22:G38" si="5">AVERAGE(F22:F25)</f>
        <v>0.80116041366041379</v>
      </c>
      <c r="H22" s="3"/>
      <c r="I22" s="3"/>
    </row>
    <row r="23" spans="1:9" s="4" customFormat="1">
      <c r="A23" s="8">
        <v>6</v>
      </c>
      <c r="B23" s="8" t="s">
        <v>1</v>
      </c>
      <c r="C23" s="8">
        <v>154</v>
      </c>
      <c r="D23" s="9">
        <f t="shared" si="0"/>
        <v>122</v>
      </c>
      <c r="E23" s="9" t="str">
        <f t="shared" si="1"/>
        <v>O</v>
      </c>
      <c r="F23" s="10">
        <f t="shared" si="2"/>
        <v>0.79220779220779225</v>
      </c>
      <c r="G23" s="1"/>
      <c r="H23" s="3"/>
      <c r="I23" s="3"/>
    </row>
    <row r="24" spans="1:9" s="4" customFormat="1">
      <c r="A24" s="8">
        <v>6</v>
      </c>
      <c r="B24" s="8" t="s">
        <v>2</v>
      </c>
      <c r="C24" s="8">
        <v>108</v>
      </c>
      <c r="D24" s="9">
        <f t="shared" si="0"/>
        <v>88</v>
      </c>
      <c r="E24" s="9" t="str">
        <f t="shared" si="1"/>
        <v>O</v>
      </c>
      <c r="F24" s="10">
        <f t="shared" si="2"/>
        <v>0.81481481481481477</v>
      </c>
      <c r="G24" s="1"/>
      <c r="H24" s="3"/>
      <c r="I24" s="3"/>
    </row>
    <row r="25" spans="1:9" s="4" customFormat="1">
      <c r="A25" s="8">
        <v>6</v>
      </c>
      <c r="B25" s="8" t="s">
        <v>3</v>
      </c>
      <c r="C25" s="8">
        <v>84</v>
      </c>
      <c r="D25" s="9">
        <f t="shared" si="0"/>
        <v>67</v>
      </c>
      <c r="E25" s="9" t="str">
        <f t="shared" si="1"/>
        <v>O</v>
      </c>
      <c r="F25" s="10">
        <f t="shared" si="2"/>
        <v>0.79761904761904767</v>
      </c>
      <c r="G25" s="1"/>
      <c r="H25" s="3"/>
      <c r="I25" s="3"/>
    </row>
    <row r="26" spans="1:9" s="4" customFormat="1">
      <c r="A26" s="8">
        <v>7</v>
      </c>
      <c r="B26" s="8" t="s">
        <v>0</v>
      </c>
      <c r="C26" s="8">
        <v>224</v>
      </c>
      <c r="D26" s="9">
        <f t="shared" si="0"/>
        <v>197</v>
      </c>
      <c r="E26" s="9" t="str">
        <f t="shared" si="1"/>
        <v>O</v>
      </c>
      <c r="F26" s="10">
        <f t="shared" si="2"/>
        <v>0.8794642857142857</v>
      </c>
      <c r="G26" s="1">
        <f t="shared" si="5"/>
        <v>0.88536915225495783</v>
      </c>
      <c r="H26" s="3"/>
      <c r="I26" s="3"/>
    </row>
    <row r="27" spans="1:9" s="4" customFormat="1">
      <c r="A27" s="8">
        <v>7</v>
      </c>
      <c r="B27" s="8" t="s">
        <v>1</v>
      </c>
      <c r="C27" s="8">
        <v>178</v>
      </c>
      <c r="D27" s="9">
        <f t="shared" si="0"/>
        <v>155</v>
      </c>
      <c r="E27" s="9" t="str">
        <f t="shared" si="1"/>
        <v>O</v>
      </c>
      <c r="F27" s="10">
        <f t="shared" si="2"/>
        <v>0.8707865168539326</v>
      </c>
      <c r="G27" s="1"/>
      <c r="H27" s="3"/>
      <c r="I27" s="3"/>
    </row>
    <row r="28" spans="1:9" s="4" customFormat="1">
      <c r="A28" s="8">
        <v>7</v>
      </c>
      <c r="B28" s="8" t="s">
        <v>2</v>
      </c>
      <c r="C28" s="8">
        <v>125</v>
      </c>
      <c r="D28" s="9">
        <f t="shared" si="0"/>
        <v>111</v>
      </c>
      <c r="E28" s="9" t="str">
        <f t="shared" si="1"/>
        <v>O</v>
      </c>
      <c r="F28" s="10">
        <f t="shared" si="2"/>
        <v>0.88800000000000001</v>
      </c>
      <c r="G28" s="1"/>
      <c r="H28" s="3"/>
      <c r="I28" s="3"/>
    </row>
    <row r="29" spans="1:9" s="4" customFormat="1">
      <c r="A29" s="8">
        <v>7</v>
      </c>
      <c r="B29" s="8" t="s">
        <v>3</v>
      </c>
      <c r="C29" s="8">
        <v>93</v>
      </c>
      <c r="D29" s="9">
        <f t="shared" si="0"/>
        <v>84</v>
      </c>
      <c r="E29" s="9" t="str">
        <f t="shared" si="1"/>
        <v>O</v>
      </c>
      <c r="F29" s="10">
        <f t="shared" si="2"/>
        <v>0.90322580645161288</v>
      </c>
      <c r="G29" s="1"/>
      <c r="H29" s="3"/>
      <c r="I29" s="3"/>
    </row>
    <row r="30" spans="1:9" s="4" customFormat="1">
      <c r="A30" s="8">
        <v>8</v>
      </c>
      <c r="B30" s="8" t="s">
        <v>0</v>
      </c>
      <c r="C30" s="8">
        <v>279</v>
      </c>
      <c r="D30" s="9">
        <f t="shared" si="0"/>
        <v>244</v>
      </c>
      <c r="E30" s="9" t="str">
        <f t="shared" si="1"/>
        <v>O</v>
      </c>
      <c r="F30" s="10">
        <f t="shared" si="2"/>
        <v>0.87455197132616491</v>
      </c>
      <c r="G30" s="1">
        <f t="shared" si="5"/>
        <v>0.86596896158822978</v>
      </c>
      <c r="H30" s="3"/>
      <c r="I30" s="3"/>
    </row>
    <row r="31" spans="1:9" s="4" customFormat="1">
      <c r="A31" s="8">
        <v>8</v>
      </c>
      <c r="B31" s="8" t="s">
        <v>1</v>
      </c>
      <c r="C31" s="8">
        <v>221</v>
      </c>
      <c r="D31" s="9">
        <f t="shared" si="0"/>
        <v>191</v>
      </c>
      <c r="E31" s="9" t="str">
        <f t="shared" si="1"/>
        <v>O</v>
      </c>
      <c r="F31" s="10">
        <f t="shared" si="2"/>
        <v>0.86425339366515841</v>
      </c>
      <c r="G31" s="1"/>
      <c r="H31" s="3"/>
      <c r="I31" s="3"/>
    </row>
    <row r="32" spans="1:9" s="4" customFormat="1">
      <c r="A32" s="8">
        <v>8</v>
      </c>
      <c r="B32" s="8" t="s">
        <v>2</v>
      </c>
      <c r="C32" s="8">
        <v>157</v>
      </c>
      <c r="D32" s="9">
        <f t="shared" si="0"/>
        <v>137</v>
      </c>
      <c r="E32" s="9" t="str">
        <f t="shared" si="1"/>
        <v>O</v>
      </c>
      <c r="F32" s="10">
        <f t="shared" si="2"/>
        <v>0.87261146496815289</v>
      </c>
      <c r="G32" s="1"/>
      <c r="H32" s="3"/>
      <c r="I32" s="3"/>
    </row>
    <row r="33" spans="1:9" s="4" customFormat="1">
      <c r="A33" s="8">
        <v>8</v>
      </c>
      <c r="B33" s="8" t="s">
        <v>3</v>
      </c>
      <c r="C33" s="8">
        <v>122</v>
      </c>
      <c r="D33" s="9">
        <f t="shared" si="0"/>
        <v>104</v>
      </c>
      <c r="E33" s="9" t="str">
        <f t="shared" si="1"/>
        <v>O</v>
      </c>
      <c r="F33" s="10">
        <f t="shared" si="2"/>
        <v>0.85245901639344257</v>
      </c>
      <c r="G33" s="1"/>
      <c r="H33" s="3"/>
      <c r="I33" s="3"/>
    </row>
    <row r="34" spans="1:9" s="4" customFormat="1">
      <c r="A34" s="8">
        <v>9</v>
      </c>
      <c r="B34" s="8" t="s">
        <v>0</v>
      </c>
      <c r="C34" s="8">
        <v>335</v>
      </c>
      <c r="D34" s="9">
        <f t="shared" si="0"/>
        <v>295</v>
      </c>
      <c r="E34" s="9" t="str">
        <f t="shared" si="1"/>
        <v>O</v>
      </c>
      <c r="F34" s="10">
        <f t="shared" si="2"/>
        <v>0.88059701492537312</v>
      </c>
      <c r="G34" s="1">
        <f t="shared" si="5"/>
        <v>0.87910278959327615</v>
      </c>
      <c r="H34" s="3"/>
      <c r="I34" s="3"/>
    </row>
    <row r="35" spans="1:9" s="4" customFormat="1">
      <c r="A35" s="8">
        <v>9</v>
      </c>
      <c r="B35" s="8" t="s">
        <v>1</v>
      </c>
      <c r="C35" s="8">
        <v>262</v>
      </c>
      <c r="D35" s="9">
        <f t="shared" si="0"/>
        <v>231</v>
      </c>
      <c r="E35" s="9" t="str">
        <f t="shared" si="1"/>
        <v>O</v>
      </c>
      <c r="F35" s="10">
        <f t="shared" si="2"/>
        <v>0.88167938931297707</v>
      </c>
      <c r="G35" s="1"/>
      <c r="H35" s="3"/>
      <c r="I35" s="3"/>
    </row>
    <row r="36" spans="1:9" s="4" customFormat="1">
      <c r="A36" s="8">
        <v>9</v>
      </c>
      <c r="B36" s="8" t="s">
        <v>2</v>
      </c>
      <c r="C36" s="8">
        <v>189</v>
      </c>
      <c r="D36" s="9">
        <f t="shared" si="0"/>
        <v>165</v>
      </c>
      <c r="E36" s="9" t="str">
        <f t="shared" si="1"/>
        <v>O</v>
      </c>
      <c r="F36" s="10">
        <f t="shared" si="2"/>
        <v>0.87301587301587302</v>
      </c>
      <c r="G36" s="1"/>
      <c r="H36" s="3"/>
      <c r="I36" s="3"/>
    </row>
    <row r="37" spans="1:9" s="4" customFormat="1">
      <c r="A37" s="8">
        <v>9</v>
      </c>
      <c r="B37" s="8" t="s">
        <v>3</v>
      </c>
      <c r="C37" s="8">
        <v>143</v>
      </c>
      <c r="D37" s="9">
        <f t="shared" si="0"/>
        <v>126</v>
      </c>
      <c r="E37" s="9" t="str">
        <f t="shared" si="1"/>
        <v>O</v>
      </c>
      <c r="F37" s="10">
        <f t="shared" si="2"/>
        <v>0.88111888111888115</v>
      </c>
      <c r="G37" s="1"/>
      <c r="H37" s="3"/>
      <c r="I37" s="3"/>
    </row>
    <row r="38" spans="1:9" s="4" customFormat="1">
      <c r="A38" s="8">
        <v>10</v>
      </c>
      <c r="B38" s="8" t="s">
        <v>0</v>
      </c>
      <c r="C38" s="8">
        <v>395</v>
      </c>
      <c r="D38" s="9">
        <f t="shared" si="0"/>
        <v>351</v>
      </c>
      <c r="E38" s="9" t="str">
        <f t="shared" si="1"/>
        <v>O</v>
      </c>
      <c r="F38" s="10">
        <f t="shared" si="2"/>
        <v>0.88860759493670882</v>
      </c>
      <c r="G38" s="1">
        <f t="shared" si="5"/>
        <v>0.88077705357320735</v>
      </c>
      <c r="H38" s="3"/>
      <c r="I38" s="3"/>
    </row>
    <row r="39" spans="1:9" s="4" customFormat="1">
      <c r="A39" s="8">
        <v>10</v>
      </c>
      <c r="B39" s="8" t="s">
        <v>1</v>
      </c>
      <c r="C39" s="8">
        <v>311</v>
      </c>
      <c r="D39" s="9">
        <f t="shared" si="0"/>
        <v>274</v>
      </c>
      <c r="E39" s="9" t="str">
        <f t="shared" si="1"/>
        <v>O</v>
      </c>
      <c r="F39" s="10">
        <f t="shared" si="2"/>
        <v>0.88102893890675238</v>
      </c>
      <c r="G39" s="1"/>
      <c r="H39" s="3"/>
      <c r="I39" s="3"/>
    </row>
    <row r="40" spans="1:9" s="4" customFormat="1">
      <c r="A40" s="8">
        <v>10</v>
      </c>
      <c r="B40" s="8" t="s">
        <v>2</v>
      </c>
      <c r="C40" s="8">
        <v>221</v>
      </c>
      <c r="D40" s="9">
        <f t="shared" si="0"/>
        <v>197</v>
      </c>
      <c r="E40" s="9" t="str">
        <f t="shared" si="1"/>
        <v>O</v>
      </c>
      <c r="F40" s="10">
        <f t="shared" si="2"/>
        <v>0.89140271493212675</v>
      </c>
      <c r="G40" s="1"/>
      <c r="H40" s="3"/>
      <c r="I40" s="3"/>
    </row>
    <row r="41" spans="1:9" s="4" customFormat="1">
      <c r="A41" s="8">
        <v>10</v>
      </c>
      <c r="B41" s="8" t="s">
        <v>3</v>
      </c>
      <c r="C41" s="8">
        <v>174</v>
      </c>
      <c r="D41" s="9">
        <f t="shared" si="0"/>
        <v>150</v>
      </c>
      <c r="E41" s="9" t="str">
        <f t="shared" si="1"/>
        <v>O</v>
      </c>
      <c r="F41" s="10">
        <f t="shared" si="2"/>
        <v>0.86206896551724133</v>
      </c>
      <c r="G41" s="1"/>
      <c r="H41" s="3"/>
      <c r="I41" s="3"/>
    </row>
    <row r="42" spans="1:9" s="4" customFormat="1">
      <c r="A42" s="8">
        <v>11</v>
      </c>
      <c r="B42" s="8" t="s">
        <v>0</v>
      </c>
      <c r="C42" s="8">
        <v>468</v>
      </c>
      <c r="D42" s="9">
        <f t="shared" si="0"/>
        <v>411</v>
      </c>
      <c r="E42" s="9" t="str">
        <f t="shared" si="1"/>
        <v>O</v>
      </c>
      <c r="F42" s="10">
        <f t="shared" si="2"/>
        <v>0.87820512820512819</v>
      </c>
      <c r="G42" s="1">
        <f t="shared" ref="G42:G50" si="6">AVERAGE(F42:F45)</f>
        <v>0.88246961021551185</v>
      </c>
      <c r="H42" s="3"/>
      <c r="I42" s="3"/>
    </row>
    <row r="43" spans="1:9" s="4" customFormat="1">
      <c r="A43" s="8">
        <v>11</v>
      </c>
      <c r="B43" s="8" t="s">
        <v>1</v>
      </c>
      <c r="C43" s="8">
        <v>366</v>
      </c>
      <c r="D43" s="9">
        <f t="shared" si="0"/>
        <v>322</v>
      </c>
      <c r="E43" s="9" t="str">
        <f t="shared" si="1"/>
        <v>O</v>
      </c>
      <c r="F43" s="10">
        <f t="shared" si="2"/>
        <v>0.8797814207650273</v>
      </c>
      <c r="G43" s="1"/>
      <c r="H43" s="3"/>
      <c r="I43" s="3"/>
    </row>
    <row r="44" spans="1:9" s="4" customFormat="1">
      <c r="A44" s="8">
        <v>11</v>
      </c>
      <c r="B44" s="8" t="s">
        <v>2</v>
      </c>
      <c r="C44" s="8">
        <v>259</v>
      </c>
      <c r="D44" s="9">
        <f t="shared" si="0"/>
        <v>231</v>
      </c>
      <c r="E44" s="9" t="str">
        <f t="shared" si="1"/>
        <v>O</v>
      </c>
      <c r="F44" s="10">
        <f t="shared" si="2"/>
        <v>0.89189189189189189</v>
      </c>
      <c r="G44" s="1"/>
      <c r="H44" s="3"/>
      <c r="I44" s="3"/>
    </row>
    <row r="45" spans="1:9" s="4" customFormat="1">
      <c r="A45" s="8">
        <v>11</v>
      </c>
      <c r="B45" s="8" t="s">
        <v>3</v>
      </c>
      <c r="C45" s="8">
        <v>200</v>
      </c>
      <c r="D45" s="9">
        <f t="shared" si="0"/>
        <v>176</v>
      </c>
      <c r="E45" s="9" t="str">
        <f t="shared" si="1"/>
        <v>O</v>
      </c>
      <c r="F45" s="10">
        <f t="shared" si="2"/>
        <v>0.88</v>
      </c>
      <c r="G45" s="1"/>
      <c r="H45" s="3"/>
      <c r="I45" s="3"/>
    </row>
    <row r="46" spans="1:9" s="4" customFormat="1">
      <c r="A46" s="8">
        <v>12</v>
      </c>
      <c r="B46" s="8" t="s">
        <v>0</v>
      </c>
      <c r="C46" s="8">
        <v>535</v>
      </c>
      <c r="D46" s="9">
        <f t="shared" si="0"/>
        <v>477</v>
      </c>
      <c r="E46" s="9" t="str">
        <f t="shared" si="1"/>
        <v>O</v>
      </c>
      <c r="F46" s="10">
        <f t="shared" si="2"/>
        <v>0.891588785046729</v>
      </c>
      <c r="G46" s="1">
        <f t="shared" si="6"/>
        <v>0.89562725582667757</v>
      </c>
      <c r="H46" s="3"/>
      <c r="I46" s="3"/>
    </row>
    <row r="47" spans="1:9" s="4" customFormat="1">
      <c r="A47" s="8">
        <v>12</v>
      </c>
      <c r="B47" s="8" t="s">
        <v>1</v>
      </c>
      <c r="C47" s="8">
        <v>419</v>
      </c>
      <c r="D47" s="9">
        <f t="shared" si="0"/>
        <v>373</v>
      </c>
      <c r="E47" s="9" t="str">
        <f t="shared" si="1"/>
        <v>O</v>
      </c>
      <c r="F47" s="10">
        <f t="shared" si="2"/>
        <v>0.89021479713603824</v>
      </c>
      <c r="G47" s="1"/>
      <c r="H47" s="3"/>
      <c r="I47" s="3"/>
    </row>
    <row r="48" spans="1:9" s="4" customFormat="1">
      <c r="A48" s="8">
        <v>12</v>
      </c>
      <c r="B48" s="8" t="s">
        <v>2</v>
      </c>
      <c r="C48" s="8">
        <v>296</v>
      </c>
      <c r="D48" s="9">
        <f t="shared" si="0"/>
        <v>267</v>
      </c>
      <c r="E48" s="9" t="str">
        <f t="shared" si="1"/>
        <v>O</v>
      </c>
      <c r="F48" s="10">
        <f t="shared" si="2"/>
        <v>0.90202702702702697</v>
      </c>
      <c r="G48" s="1"/>
      <c r="H48" s="3"/>
      <c r="I48" s="3"/>
    </row>
    <row r="49" spans="1:9" s="4" customFormat="1">
      <c r="A49" s="8">
        <v>12</v>
      </c>
      <c r="B49" s="8" t="s">
        <v>3</v>
      </c>
      <c r="C49" s="8">
        <v>227</v>
      </c>
      <c r="D49" s="9">
        <f t="shared" si="0"/>
        <v>204</v>
      </c>
      <c r="E49" s="9" t="str">
        <f t="shared" si="1"/>
        <v>O</v>
      </c>
      <c r="F49" s="10">
        <f t="shared" si="2"/>
        <v>0.89867841409691629</v>
      </c>
      <c r="G49" s="1"/>
      <c r="H49" s="3"/>
      <c r="I49" s="3"/>
    </row>
    <row r="50" spans="1:9" s="4" customFormat="1">
      <c r="A50" s="8">
        <v>13</v>
      </c>
      <c r="B50" s="8" t="s">
        <v>0</v>
      </c>
      <c r="C50" s="8">
        <v>619</v>
      </c>
      <c r="D50" s="9">
        <f t="shared" si="0"/>
        <v>548</v>
      </c>
      <c r="E50" s="9" t="str">
        <f t="shared" si="1"/>
        <v>O</v>
      </c>
      <c r="F50" s="10">
        <f t="shared" si="2"/>
        <v>0.88529886914378031</v>
      </c>
      <c r="G50" s="1">
        <f t="shared" si="6"/>
        <v>0.88728290532293741</v>
      </c>
      <c r="H50" s="3"/>
      <c r="I50" s="3"/>
    </row>
    <row r="51" spans="1:9" s="4" customFormat="1">
      <c r="A51" s="8">
        <v>13</v>
      </c>
      <c r="B51" s="8" t="s">
        <v>1</v>
      </c>
      <c r="C51" s="8">
        <v>483</v>
      </c>
      <c r="D51" s="9">
        <f t="shared" si="0"/>
        <v>429</v>
      </c>
      <c r="E51" s="9" t="str">
        <f t="shared" si="1"/>
        <v>O</v>
      </c>
      <c r="F51" s="10">
        <f t="shared" si="2"/>
        <v>0.88819875776397517</v>
      </c>
      <c r="G51" s="1"/>
      <c r="H51" s="3"/>
      <c r="I51" s="3"/>
    </row>
    <row r="52" spans="1:9" s="4" customFormat="1">
      <c r="A52" s="8">
        <v>13</v>
      </c>
      <c r="B52" s="8" t="s">
        <v>2</v>
      </c>
      <c r="C52" s="8">
        <v>352</v>
      </c>
      <c r="D52" s="9">
        <f t="shared" si="0"/>
        <v>307</v>
      </c>
      <c r="E52" s="9" t="str">
        <f t="shared" si="1"/>
        <v>O</v>
      </c>
      <c r="F52" s="10">
        <f t="shared" si="2"/>
        <v>0.87215909090909094</v>
      </c>
      <c r="G52" s="1"/>
      <c r="H52" s="3"/>
      <c r="I52" s="3"/>
    </row>
    <row r="53" spans="1:9" s="4" customFormat="1">
      <c r="A53" s="8">
        <v>13</v>
      </c>
      <c r="B53" s="8" t="s">
        <v>3</v>
      </c>
      <c r="C53" s="8">
        <v>259</v>
      </c>
      <c r="D53" s="9">
        <f t="shared" si="0"/>
        <v>234</v>
      </c>
      <c r="E53" s="9" t="str">
        <f t="shared" si="1"/>
        <v>O</v>
      </c>
      <c r="F53" s="10">
        <f t="shared" si="2"/>
        <v>0.90347490347490345</v>
      </c>
      <c r="G53" s="1"/>
      <c r="H53" s="3"/>
      <c r="I53" s="3"/>
    </row>
    <row r="54" spans="1:9" s="4" customFormat="1">
      <c r="A54" s="8">
        <v>14</v>
      </c>
      <c r="B54" s="8" t="s">
        <v>0</v>
      </c>
      <c r="C54" s="8">
        <v>667</v>
      </c>
      <c r="D54" s="9">
        <f t="shared" si="0"/>
        <v>623</v>
      </c>
      <c r="E54" s="9" t="str">
        <f t="shared" si="1"/>
        <v>O</v>
      </c>
      <c r="F54" s="10">
        <f t="shared" si="2"/>
        <v>0.93403298350824593</v>
      </c>
      <c r="G54" s="1">
        <f t="shared" ref="G54:G66" si="7">AVERAGE(F54:F57)</f>
        <v>0.93159905643357011</v>
      </c>
      <c r="H54" s="3"/>
      <c r="I54" s="3"/>
    </row>
    <row r="55" spans="1:9" s="4" customFormat="1">
      <c r="A55" s="8">
        <v>14</v>
      </c>
      <c r="B55" s="8" t="s">
        <v>1</v>
      </c>
      <c r="C55" s="8">
        <v>528</v>
      </c>
      <c r="D55" s="9">
        <f t="shared" si="0"/>
        <v>488</v>
      </c>
      <c r="E55" s="9" t="str">
        <f t="shared" si="1"/>
        <v>O</v>
      </c>
      <c r="F55" s="10">
        <f t="shared" si="2"/>
        <v>0.9242424242424242</v>
      </c>
      <c r="G55" s="1"/>
      <c r="H55" s="3"/>
      <c r="I55" s="3"/>
    </row>
    <row r="56" spans="1:9" s="4" customFormat="1">
      <c r="A56" s="8">
        <v>14</v>
      </c>
      <c r="B56" s="8" t="s">
        <v>2</v>
      </c>
      <c r="C56" s="8">
        <v>376</v>
      </c>
      <c r="D56" s="9">
        <f t="shared" si="0"/>
        <v>349</v>
      </c>
      <c r="E56" s="9" t="str">
        <f t="shared" si="1"/>
        <v>O</v>
      </c>
      <c r="F56" s="10">
        <f t="shared" si="2"/>
        <v>0.92819148936170215</v>
      </c>
      <c r="G56" s="1"/>
      <c r="H56" s="3"/>
      <c r="I56" s="3"/>
    </row>
    <row r="57" spans="1:9" s="4" customFormat="1">
      <c r="A57" s="8">
        <v>14</v>
      </c>
      <c r="B57" s="8" t="s">
        <v>3</v>
      </c>
      <c r="C57" s="8">
        <v>283</v>
      </c>
      <c r="D57" s="9">
        <f t="shared" si="0"/>
        <v>266</v>
      </c>
      <c r="E57" s="9" t="str">
        <f t="shared" si="1"/>
        <v>O</v>
      </c>
      <c r="F57" s="10">
        <f t="shared" si="2"/>
        <v>0.93992932862190814</v>
      </c>
      <c r="G57" s="1"/>
      <c r="H57" s="3"/>
      <c r="I57" s="3"/>
    </row>
    <row r="58" spans="1:9" s="4" customFormat="1">
      <c r="A58" s="8">
        <v>15</v>
      </c>
      <c r="B58" s="8" t="s">
        <v>0</v>
      </c>
      <c r="C58" s="8">
        <v>758</v>
      </c>
      <c r="D58" s="9">
        <f t="shared" si="0"/>
        <v>703</v>
      </c>
      <c r="E58" s="9" t="str">
        <f t="shared" si="1"/>
        <v>O</v>
      </c>
      <c r="F58" s="10">
        <f t="shared" si="2"/>
        <v>0.92744063324538262</v>
      </c>
      <c r="G58" s="1">
        <f t="shared" si="7"/>
        <v>0.92589234206809168</v>
      </c>
      <c r="H58" s="3"/>
      <c r="I58" s="3"/>
    </row>
    <row r="59" spans="1:9" s="4" customFormat="1">
      <c r="A59" s="8">
        <v>15</v>
      </c>
      <c r="B59" s="8" t="s">
        <v>1</v>
      </c>
      <c r="C59" s="8">
        <v>600</v>
      </c>
      <c r="D59" s="9">
        <f t="shared" si="0"/>
        <v>550</v>
      </c>
      <c r="E59" s="9" t="str">
        <f t="shared" si="1"/>
        <v>O</v>
      </c>
      <c r="F59" s="10">
        <f t="shared" si="2"/>
        <v>0.91666666666666663</v>
      </c>
      <c r="G59" s="1"/>
      <c r="H59" s="3"/>
      <c r="I59" s="3"/>
    </row>
    <row r="60" spans="1:9" s="4" customFormat="1">
      <c r="A60" s="8">
        <v>15</v>
      </c>
      <c r="B60" s="8" t="s">
        <v>2</v>
      </c>
      <c r="C60" s="8">
        <v>426</v>
      </c>
      <c r="D60" s="9">
        <f t="shared" si="0"/>
        <v>394</v>
      </c>
      <c r="E60" s="9" t="str">
        <f t="shared" si="1"/>
        <v>O</v>
      </c>
      <c r="F60" s="10">
        <f t="shared" si="2"/>
        <v>0.92488262910798125</v>
      </c>
      <c r="G60" s="1"/>
      <c r="H60" s="3"/>
      <c r="I60" s="3"/>
    </row>
    <row r="61" spans="1:9" s="4" customFormat="1">
      <c r="A61" s="8">
        <v>15</v>
      </c>
      <c r="B61" s="8" t="s">
        <v>3</v>
      </c>
      <c r="C61" s="8">
        <v>321</v>
      </c>
      <c r="D61" s="9">
        <f t="shared" si="0"/>
        <v>300</v>
      </c>
      <c r="E61" s="9" t="str">
        <f t="shared" si="1"/>
        <v>O</v>
      </c>
      <c r="F61" s="10">
        <f t="shared" si="2"/>
        <v>0.93457943925233644</v>
      </c>
      <c r="G61" s="1"/>
      <c r="H61" s="3"/>
      <c r="I61" s="3"/>
    </row>
    <row r="62" spans="1:9" s="4" customFormat="1">
      <c r="A62" s="8">
        <v>16</v>
      </c>
      <c r="B62" s="8" t="s">
        <v>0</v>
      </c>
      <c r="C62" s="8">
        <v>854</v>
      </c>
      <c r="D62" s="9">
        <f t="shared" si="0"/>
        <v>788</v>
      </c>
      <c r="E62" s="9" t="str">
        <f t="shared" si="1"/>
        <v>O</v>
      </c>
      <c r="F62" s="10">
        <f t="shared" si="2"/>
        <v>0.92271662763466045</v>
      </c>
      <c r="G62" s="1">
        <f t="shared" si="7"/>
        <v>0.93105972131070969</v>
      </c>
      <c r="H62" s="3"/>
      <c r="I62" s="3"/>
    </row>
    <row r="63" spans="1:9" s="4" customFormat="1">
      <c r="A63" s="8">
        <v>16</v>
      </c>
      <c r="B63" s="8" t="s">
        <v>1</v>
      </c>
      <c r="C63" s="8">
        <v>656</v>
      </c>
      <c r="D63" s="9">
        <f t="shared" si="0"/>
        <v>617</v>
      </c>
      <c r="E63" s="9" t="str">
        <f t="shared" si="1"/>
        <v>O</v>
      </c>
      <c r="F63" s="10">
        <f t="shared" si="2"/>
        <v>0.94054878048780488</v>
      </c>
      <c r="G63" s="1"/>
      <c r="H63" s="3"/>
      <c r="I63" s="3"/>
    </row>
    <row r="64" spans="1:9" s="4" customFormat="1">
      <c r="A64" s="8">
        <v>16</v>
      </c>
      <c r="B64" s="8" t="s">
        <v>2</v>
      </c>
      <c r="C64" s="8">
        <v>470</v>
      </c>
      <c r="D64" s="9">
        <f t="shared" si="0"/>
        <v>442</v>
      </c>
      <c r="E64" s="9" t="str">
        <f t="shared" si="1"/>
        <v>O</v>
      </c>
      <c r="F64" s="10">
        <f t="shared" si="2"/>
        <v>0.94042553191489364</v>
      </c>
      <c r="G64" s="1"/>
      <c r="H64" s="3"/>
      <c r="I64" s="3"/>
    </row>
    <row r="65" spans="1:9" s="4" customFormat="1">
      <c r="A65" s="8">
        <v>16</v>
      </c>
      <c r="B65" s="8" t="s">
        <v>3</v>
      </c>
      <c r="C65" s="8">
        <v>365</v>
      </c>
      <c r="D65" s="9">
        <f t="shared" si="0"/>
        <v>336</v>
      </c>
      <c r="E65" s="9" t="str">
        <f t="shared" si="1"/>
        <v>O</v>
      </c>
      <c r="F65" s="10">
        <f t="shared" si="2"/>
        <v>0.92054794520547945</v>
      </c>
      <c r="G65" s="1"/>
      <c r="H65" s="3"/>
      <c r="I65" s="3"/>
    </row>
    <row r="66" spans="1:9" s="4" customFormat="1">
      <c r="A66" s="8">
        <v>17</v>
      </c>
      <c r="B66" s="8" t="s">
        <v>0</v>
      </c>
      <c r="C66" s="8">
        <v>938</v>
      </c>
      <c r="D66" s="9">
        <f t="shared" si="0"/>
        <v>878</v>
      </c>
      <c r="E66" s="9" t="str">
        <f t="shared" si="1"/>
        <v>O</v>
      </c>
      <c r="F66" s="10">
        <f t="shared" si="2"/>
        <v>0.9360341151385928</v>
      </c>
      <c r="G66" s="1">
        <f t="shared" si="7"/>
        <v>0.92941818424152911</v>
      </c>
      <c r="H66" s="3"/>
      <c r="I66" s="3"/>
    </row>
    <row r="67" spans="1:9" s="4" customFormat="1">
      <c r="A67" s="8">
        <v>17</v>
      </c>
      <c r="B67" s="8" t="s">
        <v>1</v>
      </c>
      <c r="C67" s="8">
        <v>734</v>
      </c>
      <c r="D67" s="9">
        <f t="shared" ref="D67:D130" si="8">CEILING(POWER(A67+2,2)*VLOOKUP(B67,$H$2:$I$5,2,FALSE), 1)</f>
        <v>687</v>
      </c>
      <c r="E67" s="9" t="str">
        <f t="shared" ref="E67:E130" si="9">IF(D67&gt;C67, "X", "O")</f>
        <v>O</v>
      </c>
      <c r="F67" s="10">
        <f t="shared" ref="F67:F130" si="10">D67/C67</f>
        <v>0.93596730245231607</v>
      </c>
      <c r="G67" s="1"/>
      <c r="H67" s="3"/>
      <c r="I67" s="3"/>
    </row>
    <row r="68" spans="1:9" s="4" customFormat="1">
      <c r="A68" s="8">
        <v>17</v>
      </c>
      <c r="B68" s="8" t="s">
        <v>2</v>
      </c>
      <c r="C68" s="8">
        <v>531</v>
      </c>
      <c r="D68" s="9">
        <f t="shared" si="8"/>
        <v>492</v>
      </c>
      <c r="E68" s="9" t="str">
        <f t="shared" si="9"/>
        <v>O</v>
      </c>
      <c r="F68" s="10">
        <f t="shared" si="10"/>
        <v>0.92655367231638419</v>
      </c>
      <c r="G68" s="1"/>
      <c r="H68" s="3"/>
      <c r="I68" s="3"/>
    </row>
    <row r="69" spans="1:9" s="4" customFormat="1">
      <c r="A69" s="8">
        <v>17</v>
      </c>
      <c r="B69" s="8" t="s">
        <v>3</v>
      </c>
      <c r="C69" s="8">
        <v>408</v>
      </c>
      <c r="D69" s="9">
        <f t="shared" si="8"/>
        <v>375</v>
      </c>
      <c r="E69" s="9" t="str">
        <f t="shared" si="9"/>
        <v>O</v>
      </c>
      <c r="F69" s="10">
        <f t="shared" si="10"/>
        <v>0.91911764705882348</v>
      </c>
      <c r="G69" s="1"/>
      <c r="H69" s="3"/>
      <c r="I69" s="3"/>
    </row>
    <row r="70" spans="1:9" s="4" customFormat="1">
      <c r="A70" s="8">
        <v>18</v>
      </c>
      <c r="B70" s="8" t="s">
        <v>0</v>
      </c>
      <c r="C70" s="8">
        <v>1046</v>
      </c>
      <c r="D70" s="9">
        <f t="shared" si="8"/>
        <v>973</v>
      </c>
      <c r="E70" s="9" t="str">
        <f t="shared" si="9"/>
        <v>O</v>
      </c>
      <c r="F70" s="10">
        <f t="shared" si="10"/>
        <v>0.9302103250478011</v>
      </c>
      <c r="G70" s="1">
        <f t="shared" ref="G70:G86" si="11">AVERAGE(F70:F73)</f>
        <v>0.93291319982407406</v>
      </c>
      <c r="H70" s="3"/>
      <c r="I70" s="3"/>
    </row>
    <row r="71" spans="1:9" s="4" customFormat="1">
      <c r="A71" s="8">
        <v>18</v>
      </c>
      <c r="B71" s="8" t="s">
        <v>1</v>
      </c>
      <c r="C71" s="8">
        <v>816</v>
      </c>
      <c r="D71" s="9">
        <f t="shared" si="8"/>
        <v>762</v>
      </c>
      <c r="E71" s="9" t="str">
        <f t="shared" si="9"/>
        <v>O</v>
      </c>
      <c r="F71" s="10">
        <f t="shared" si="10"/>
        <v>0.93382352941176472</v>
      </c>
      <c r="G71" s="1"/>
      <c r="H71" s="3"/>
      <c r="I71" s="3"/>
    </row>
    <row r="72" spans="1:9" s="4" customFormat="1">
      <c r="A72" s="8">
        <v>18</v>
      </c>
      <c r="B72" s="8" t="s">
        <v>2</v>
      </c>
      <c r="C72" s="8">
        <v>574</v>
      </c>
      <c r="D72" s="9">
        <f t="shared" si="8"/>
        <v>545</v>
      </c>
      <c r="E72" s="9" t="str">
        <f t="shared" si="9"/>
        <v>O</v>
      </c>
      <c r="F72" s="10">
        <f t="shared" si="10"/>
        <v>0.94947735191637628</v>
      </c>
      <c r="G72" s="1"/>
      <c r="H72" s="3"/>
      <c r="I72" s="3"/>
    </row>
    <row r="73" spans="1:9" s="4" customFormat="1">
      <c r="A73" s="8">
        <v>18</v>
      </c>
      <c r="B73" s="8" t="s">
        <v>3</v>
      </c>
      <c r="C73" s="8">
        <v>452</v>
      </c>
      <c r="D73" s="9">
        <f t="shared" si="8"/>
        <v>415</v>
      </c>
      <c r="E73" s="9" t="str">
        <f t="shared" si="9"/>
        <v>O</v>
      </c>
      <c r="F73" s="10">
        <f t="shared" si="10"/>
        <v>0.91814159292035402</v>
      </c>
      <c r="G73" s="1"/>
      <c r="H73" s="3"/>
      <c r="I73" s="3"/>
    </row>
    <row r="74" spans="1:9" s="4" customFormat="1">
      <c r="A74" s="8">
        <v>19</v>
      </c>
      <c r="B74" s="8" t="s">
        <v>0</v>
      </c>
      <c r="C74" s="8">
        <v>1153</v>
      </c>
      <c r="D74" s="9">
        <f t="shared" si="8"/>
        <v>1073</v>
      </c>
      <c r="E74" s="9" t="str">
        <f t="shared" si="9"/>
        <v>O</v>
      </c>
      <c r="F74" s="10">
        <f t="shared" si="10"/>
        <v>0.93061578490893326</v>
      </c>
      <c r="G74" s="1">
        <f t="shared" si="11"/>
        <v>0.92872892386030714</v>
      </c>
      <c r="H74" s="3"/>
      <c r="I74" s="3"/>
    </row>
    <row r="75" spans="1:9" s="6" customFormat="1">
      <c r="A75" s="8">
        <v>19</v>
      </c>
      <c r="B75" s="8" t="s">
        <v>1</v>
      </c>
      <c r="C75" s="8">
        <v>909</v>
      </c>
      <c r="D75" s="9">
        <f t="shared" si="8"/>
        <v>840</v>
      </c>
      <c r="E75" s="9" t="str">
        <f t="shared" si="9"/>
        <v>O</v>
      </c>
      <c r="F75" s="10">
        <f t="shared" si="10"/>
        <v>0.92409240924092406</v>
      </c>
      <c r="G75" s="1"/>
      <c r="H75" s="5"/>
      <c r="I75" s="5"/>
    </row>
    <row r="76" spans="1:9" s="4" customFormat="1">
      <c r="A76" s="8">
        <v>19</v>
      </c>
      <c r="B76" s="8" t="s">
        <v>2</v>
      </c>
      <c r="C76" s="8">
        <v>644</v>
      </c>
      <c r="D76" s="9">
        <f t="shared" si="8"/>
        <v>601</v>
      </c>
      <c r="E76" s="9" t="str">
        <f t="shared" si="9"/>
        <v>O</v>
      </c>
      <c r="F76" s="10">
        <f t="shared" si="10"/>
        <v>0.93322981366459623</v>
      </c>
      <c r="G76" s="1"/>
      <c r="H76" s="3"/>
      <c r="I76" s="3"/>
    </row>
    <row r="77" spans="1:9" s="4" customFormat="1">
      <c r="A77" s="8">
        <v>19</v>
      </c>
      <c r="B77" s="8" t="s">
        <v>3</v>
      </c>
      <c r="C77" s="8">
        <v>493</v>
      </c>
      <c r="D77" s="9">
        <f t="shared" si="8"/>
        <v>457</v>
      </c>
      <c r="E77" s="9" t="str">
        <f t="shared" si="9"/>
        <v>O</v>
      </c>
      <c r="F77" s="10">
        <f t="shared" si="10"/>
        <v>0.92697768762677479</v>
      </c>
      <c r="G77" s="1"/>
      <c r="H77" s="3"/>
      <c r="I77" s="3"/>
    </row>
    <row r="78" spans="1:9" s="4" customFormat="1">
      <c r="A78" s="8">
        <v>20</v>
      </c>
      <c r="B78" s="8" t="s">
        <v>0</v>
      </c>
      <c r="C78" s="8">
        <v>1249</v>
      </c>
      <c r="D78" s="9">
        <f t="shared" si="8"/>
        <v>1177</v>
      </c>
      <c r="E78" s="9" t="str">
        <f t="shared" si="9"/>
        <v>O</v>
      </c>
      <c r="F78" s="10">
        <f t="shared" si="10"/>
        <v>0.94235388310648516</v>
      </c>
      <c r="G78" s="1">
        <f t="shared" si="11"/>
        <v>0.93296039760772742</v>
      </c>
      <c r="H78" s="3"/>
      <c r="I78" s="3"/>
    </row>
    <row r="79" spans="1:9" s="4" customFormat="1">
      <c r="A79" s="8">
        <v>20</v>
      </c>
      <c r="B79" s="8" t="s">
        <v>1</v>
      </c>
      <c r="C79" s="8">
        <v>970</v>
      </c>
      <c r="D79" s="9">
        <f t="shared" si="8"/>
        <v>921</v>
      </c>
      <c r="E79" s="9" t="str">
        <f t="shared" si="9"/>
        <v>O</v>
      </c>
      <c r="F79" s="10">
        <f t="shared" si="10"/>
        <v>0.94948453608247418</v>
      </c>
      <c r="G79" s="1"/>
      <c r="H79" s="3"/>
      <c r="I79" s="3"/>
    </row>
    <row r="80" spans="1:9" s="4" customFormat="1">
      <c r="A80" s="8">
        <v>20</v>
      </c>
      <c r="B80" s="8" t="s">
        <v>2</v>
      </c>
      <c r="C80" s="8">
        <v>702</v>
      </c>
      <c r="D80" s="9">
        <f t="shared" si="8"/>
        <v>659</v>
      </c>
      <c r="E80" s="9" t="str">
        <f t="shared" si="9"/>
        <v>O</v>
      </c>
      <c r="F80" s="10">
        <f t="shared" si="10"/>
        <v>0.93874643874643871</v>
      </c>
      <c r="G80" s="1"/>
      <c r="H80" s="3"/>
      <c r="I80" s="3"/>
    </row>
    <row r="81" spans="1:9" s="4" customFormat="1">
      <c r="A81" s="8">
        <v>20</v>
      </c>
      <c r="B81" s="8" t="s">
        <v>3</v>
      </c>
      <c r="C81" s="8">
        <v>557</v>
      </c>
      <c r="D81" s="9">
        <f t="shared" si="8"/>
        <v>502</v>
      </c>
      <c r="E81" s="9" t="str">
        <f t="shared" si="9"/>
        <v>O</v>
      </c>
      <c r="F81" s="10">
        <f t="shared" si="10"/>
        <v>0.90125673249551164</v>
      </c>
      <c r="G81" s="1"/>
      <c r="H81" s="3"/>
      <c r="I81" s="3"/>
    </row>
    <row r="82" spans="1:9" s="4" customFormat="1">
      <c r="A82" s="8">
        <v>21</v>
      </c>
      <c r="B82" s="8" t="s">
        <v>0</v>
      </c>
      <c r="C82" s="8">
        <v>1352</v>
      </c>
      <c r="D82" s="9">
        <f t="shared" si="8"/>
        <v>1287</v>
      </c>
      <c r="E82" s="9" t="str">
        <f t="shared" si="9"/>
        <v>O</v>
      </c>
      <c r="F82" s="10">
        <f t="shared" si="10"/>
        <v>0.95192307692307687</v>
      </c>
      <c r="G82" s="1">
        <f t="shared" si="11"/>
        <v>0.95795802613712144</v>
      </c>
      <c r="H82" s="3"/>
      <c r="I82" s="3"/>
    </row>
    <row r="83" spans="1:9" s="4" customFormat="1">
      <c r="A83" s="8">
        <v>21</v>
      </c>
      <c r="B83" s="8" t="s">
        <v>1</v>
      </c>
      <c r="C83" s="8">
        <v>1035</v>
      </c>
      <c r="D83" s="9">
        <f t="shared" si="8"/>
        <v>1007</v>
      </c>
      <c r="E83" s="9" t="str">
        <f t="shared" si="9"/>
        <v>O</v>
      </c>
      <c r="F83" s="10">
        <f t="shared" si="10"/>
        <v>0.97294685990338159</v>
      </c>
      <c r="G83" s="1"/>
      <c r="H83" s="3"/>
      <c r="I83" s="3"/>
    </row>
    <row r="84" spans="1:9" s="4" customFormat="1">
      <c r="A84" s="8">
        <v>21</v>
      </c>
      <c r="B84" s="8" t="s">
        <v>2</v>
      </c>
      <c r="C84" s="8">
        <v>742</v>
      </c>
      <c r="D84" s="9">
        <f t="shared" si="8"/>
        <v>721</v>
      </c>
      <c r="E84" s="9" t="str">
        <f t="shared" si="9"/>
        <v>O</v>
      </c>
      <c r="F84" s="10">
        <f t="shared" si="10"/>
        <v>0.97169811320754718</v>
      </c>
      <c r="G84" s="1"/>
      <c r="H84" s="3"/>
      <c r="I84" s="3"/>
    </row>
    <row r="85" spans="1:9" s="4" customFormat="1">
      <c r="A85" s="8">
        <v>21</v>
      </c>
      <c r="B85" s="8" t="s">
        <v>3</v>
      </c>
      <c r="C85" s="8">
        <v>587</v>
      </c>
      <c r="D85" s="9">
        <f t="shared" si="8"/>
        <v>549</v>
      </c>
      <c r="E85" s="9" t="str">
        <f t="shared" si="9"/>
        <v>O</v>
      </c>
      <c r="F85" s="10">
        <f t="shared" si="10"/>
        <v>0.93526405451448036</v>
      </c>
      <c r="G85" s="1"/>
      <c r="H85" s="3"/>
      <c r="I85" s="3"/>
    </row>
    <row r="86" spans="1:9" s="4" customFormat="1">
      <c r="A86" s="8">
        <v>22</v>
      </c>
      <c r="B86" s="8" t="s">
        <v>0</v>
      </c>
      <c r="C86" s="8">
        <v>1460</v>
      </c>
      <c r="D86" s="9">
        <f t="shared" si="8"/>
        <v>1401</v>
      </c>
      <c r="E86" s="9" t="str">
        <f t="shared" si="9"/>
        <v>O</v>
      </c>
      <c r="F86" s="10">
        <f t="shared" si="10"/>
        <v>0.95958904109589038</v>
      </c>
      <c r="G86" s="1">
        <f t="shared" si="11"/>
        <v>0.95317982535746282</v>
      </c>
      <c r="H86" s="3"/>
      <c r="I86" s="3"/>
    </row>
    <row r="87" spans="1:9" s="4" customFormat="1">
      <c r="A87" s="8">
        <v>22</v>
      </c>
      <c r="B87" s="8" t="s">
        <v>1</v>
      </c>
      <c r="C87" s="8">
        <v>1134</v>
      </c>
      <c r="D87" s="9">
        <f t="shared" si="8"/>
        <v>1096</v>
      </c>
      <c r="E87" s="9" t="str">
        <f t="shared" si="9"/>
        <v>O</v>
      </c>
      <c r="F87" s="10">
        <f t="shared" si="10"/>
        <v>0.9664902998236331</v>
      </c>
      <c r="G87" s="1"/>
      <c r="H87" s="3"/>
      <c r="I87" s="3"/>
    </row>
    <row r="88" spans="1:9" s="4" customFormat="1">
      <c r="A88" s="8">
        <v>22</v>
      </c>
      <c r="B88" s="8" t="s">
        <v>2</v>
      </c>
      <c r="C88" s="8">
        <v>823</v>
      </c>
      <c r="D88" s="9">
        <f t="shared" si="8"/>
        <v>785</v>
      </c>
      <c r="E88" s="9" t="str">
        <f t="shared" si="9"/>
        <v>O</v>
      </c>
      <c r="F88" s="10">
        <f t="shared" si="10"/>
        <v>0.95382746051032807</v>
      </c>
      <c r="G88" s="1"/>
      <c r="H88" s="3"/>
      <c r="I88" s="3"/>
    </row>
    <row r="89" spans="1:9" s="4" customFormat="1">
      <c r="A89" s="8">
        <v>22</v>
      </c>
      <c r="B89" s="8" t="s">
        <v>3</v>
      </c>
      <c r="C89" s="8">
        <v>640</v>
      </c>
      <c r="D89" s="9">
        <f t="shared" si="8"/>
        <v>597</v>
      </c>
      <c r="E89" s="9" t="str">
        <f t="shared" si="9"/>
        <v>O</v>
      </c>
      <c r="F89" s="10">
        <f t="shared" si="10"/>
        <v>0.93281250000000004</v>
      </c>
      <c r="G89" s="1"/>
      <c r="H89" s="3"/>
      <c r="I89" s="3"/>
    </row>
    <row r="90" spans="1:9" s="4" customFormat="1">
      <c r="A90" s="8">
        <v>23</v>
      </c>
      <c r="B90" s="8" t="s">
        <v>0</v>
      </c>
      <c r="C90" s="8">
        <v>1588</v>
      </c>
      <c r="D90" s="9">
        <f t="shared" si="8"/>
        <v>1520</v>
      </c>
      <c r="E90" s="9" t="str">
        <f t="shared" si="9"/>
        <v>O</v>
      </c>
      <c r="F90" s="10">
        <f t="shared" si="10"/>
        <v>0.95717884130982367</v>
      </c>
      <c r="G90" s="1">
        <f t="shared" ref="G90:G102" si="12">AVERAGE(F90:F93)</f>
        <v>0.95779249297551949</v>
      </c>
      <c r="H90" s="3"/>
      <c r="I90" s="3"/>
    </row>
    <row r="91" spans="1:9" s="4" customFormat="1">
      <c r="A91" s="8">
        <v>23</v>
      </c>
      <c r="B91" s="8" t="s">
        <v>1</v>
      </c>
      <c r="C91" s="8">
        <v>1248</v>
      </c>
      <c r="D91" s="9">
        <f t="shared" si="8"/>
        <v>1190</v>
      </c>
      <c r="E91" s="9" t="str">
        <f t="shared" si="9"/>
        <v>O</v>
      </c>
      <c r="F91" s="10">
        <f t="shared" si="10"/>
        <v>0.95352564102564108</v>
      </c>
      <c r="G91" s="1"/>
      <c r="H91" s="3"/>
      <c r="I91" s="3"/>
    </row>
    <row r="92" spans="1:9" s="4" customFormat="1">
      <c r="A92" s="8">
        <v>23</v>
      </c>
      <c r="B92" s="8" t="s">
        <v>2</v>
      </c>
      <c r="C92" s="8">
        <v>890</v>
      </c>
      <c r="D92" s="9">
        <f t="shared" si="8"/>
        <v>851</v>
      </c>
      <c r="E92" s="9" t="str">
        <f t="shared" si="9"/>
        <v>O</v>
      </c>
      <c r="F92" s="10">
        <f t="shared" si="10"/>
        <v>0.95617977528089892</v>
      </c>
      <c r="G92" s="1"/>
      <c r="H92" s="3"/>
      <c r="I92" s="3"/>
    </row>
    <row r="93" spans="1:9" s="4" customFormat="1">
      <c r="A93" s="8">
        <v>23</v>
      </c>
      <c r="B93" s="8" t="s">
        <v>3</v>
      </c>
      <c r="C93" s="8">
        <v>672</v>
      </c>
      <c r="D93" s="9">
        <f t="shared" si="8"/>
        <v>648</v>
      </c>
      <c r="E93" s="9" t="str">
        <f t="shared" si="9"/>
        <v>O</v>
      </c>
      <c r="F93" s="10">
        <f t="shared" si="10"/>
        <v>0.9642857142857143</v>
      </c>
      <c r="G93" s="1"/>
      <c r="H93" s="3"/>
      <c r="I93" s="3"/>
    </row>
    <row r="94" spans="1:9" s="4" customFormat="1">
      <c r="A94" s="8">
        <v>24</v>
      </c>
      <c r="B94" s="8" t="s">
        <v>0</v>
      </c>
      <c r="C94" s="8">
        <v>1704</v>
      </c>
      <c r="D94" s="9">
        <f t="shared" si="8"/>
        <v>1644</v>
      </c>
      <c r="E94" s="9" t="str">
        <f t="shared" si="9"/>
        <v>O</v>
      </c>
      <c r="F94" s="10">
        <f t="shared" si="10"/>
        <v>0.96478873239436624</v>
      </c>
      <c r="G94" s="1">
        <f t="shared" si="12"/>
        <v>0.95849189039966087</v>
      </c>
      <c r="H94" s="3"/>
      <c r="I94" s="3"/>
    </row>
    <row r="95" spans="1:9" s="4" customFormat="1">
      <c r="A95" s="8">
        <v>24</v>
      </c>
      <c r="B95" s="8" t="s">
        <v>1</v>
      </c>
      <c r="C95" s="8">
        <v>1326</v>
      </c>
      <c r="D95" s="9">
        <f t="shared" si="8"/>
        <v>1287</v>
      </c>
      <c r="E95" s="9" t="str">
        <f t="shared" si="9"/>
        <v>O</v>
      </c>
      <c r="F95" s="10">
        <f t="shared" si="10"/>
        <v>0.97058823529411764</v>
      </c>
      <c r="G95" s="1"/>
      <c r="H95" s="3"/>
      <c r="I95" s="3"/>
    </row>
    <row r="96" spans="1:9" s="4" customFormat="1">
      <c r="A96" s="8">
        <v>24</v>
      </c>
      <c r="B96" s="8" t="s">
        <v>2</v>
      </c>
      <c r="C96" s="8">
        <v>963</v>
      </c>
      <c r="D96" s="9">
        <f t="shared" si="8"/>
        <v>921</v>
      </c>
      <c r="E96" s="9" t="str">
        <f t="shared" si="9"/>
        <v>O</v>
      </c>
      <c r="F96" s="10">
        <f t="shared" si="10"/>
        <v>0.95638629283489096</v>
      </c>
      <c r="G96" s="1"/>
      <c r="H96" s="3"/>
      <c r="I96" s="3"/>
    </row>
    <row r="97" spans="1:9" s="4" customFormat="1">
      <c r="A97" s="8">
        <v>24</v>
      </c>
      <c r="B97" s="8" t="s">
        <v>3</v>
      </c>
      <c r="C97" s="8">
        <v>744</v>
      </c>
      <c r="D97" s="9">
        <f t="shared" si="8"/>
        <v>701</v>
      </c>
      <c r="E97" s="9" t="str">
        <f t="shared" si="9"/>
        <v>O</v>
      </c>
      <c r="F97" s="10">
        <f t="shared" si="10"/>
        <v>0.94220430107526887</v>
      </c>
      <c r="G97" s="1"/>
      <c r="H97" s="3"/>
      <c r="I97" s="3"/>
    </row>
    <row r="98" spans="1:9" s="4" customFormat="1">
      <c r="A98" s="8">
        <v>25</v>
      </c>
      <c r="B98" s="8" t="s">
        <v>0</v>
      </c>
      <c r="C98" s="8">
        <v>1853</v>
      </c>
      <c r="D98" s="9">
        <f t="shared" si="8"/>
        <v>1773</v>
      </c>
      <c r="E98" s="9" t="str">
        <f t="shared" si="9"/>
        <v>O</v>
      </c>
      <c r="F98" s="10">
        <f t="shared" si="10"/>
        <v>0.95682676740420936</v>
      </c>
      <c r="G98" s="1">
        <f t="shared" si="12"/>
        <v>0.95944347326015689</v>
      </c>
      <c r="H98" s="3"/>
      <c r="I98" s="3"/>
    </row>
    <row r="99" spans="1:9" s="4" customFormat="1">
      <c r="A99" s="8">
        <v>25</v>
      </c>
      <c r="B99" s="8" t="s">
        <v>1</v>
      </c>
      <c r="C99" s="8">
        <v>1451</v>
      </c>
      <c r="D99" s="9">
        <f t="shared" si="8"/>
        <v>1388</v>
      </c>
      <c r="E99" s="9" t="str">
        <f t="shared" si="9"/>
        <v>O</v>
      </c>
      <c r="F99" s="10">
        <f t="shared" si="10"/>
        <v>0.95658166781529974</v>
      </c>
      <c r="G99" s="1"/>
      <c r="H99" s="3"/>
      <c r="I99" s="3"/>
    </row>
    <row r="100" spans="1:9" s="4" customFormat="1">
      <c r="A100" s="8">
        <v>25</v>
      </c>
      <c r="B100" s="8" t="s">
        <v>2</v>
      </c>
      <c r="C100" s="8">
        <v>1041</v>
      </c>
      <c r="D100" s="9">
        <f t="shared" si="8"/>
        <v>993</v>
      </c>
      <c r="E100" s="9" t="str">
        <f t="shared" si="9"/>
        <v>O</v>
      </c>
      <c r="F100" s="10">
        <f t="shared" si="10"/>
        <v>0.95389048991354464</v>
      </c>
      <c r="G100" s="1"/>
      <c r="H100" s="3"/>
      <c r="I100" s="3"/>
    </row>
    <row r="101" spans="1:9" s="4" customFormat="1">
      <c r="A101" s="8">
        <v>25</v>
      </c>
      <c r="B101" s="8" t="s">
        <v>3</v>
      </c>
      <c r="C101" s="8">
        <v>779</v>
      </c>
      <c r="D101" s="9">
        <f t="shared" si="8"/>
        <v>756</v>
      </c>
      <c r="E101" s="9" t="str">
        <f t="shared" si="9"/>
        <v>O</v>
      </c>
      <c r="F101" s="10">
        <f t="shared" si="10"/>
        <v>0.97047496790757382</v>
      </c>
      <c r="G101" s="1"/>
      <c r="H101" s="3"/>
      <c r="I101" s="3"/>
    </row>
    <row r="102" spans="1:9" s="4" customFormat="1">
      <c r="A102" s="8">
        <v>26</v>
      </c>
      <c r="B102" s="8" t="s">
        <v>0</v>
      </c>
      <c r="C102" s="8">
        <v>1990</v>
      </c>
      <c r="D102" s="9">
        <f t="shared" si="8"/>
        <v>1907</v>
      </c>
      <c r="E102" s="9" t="str">
        <f t="shared" si="9"/>
        <v>O</v>
      </c>
      <c r="F102" s="10">
        <f t="shared" si="10"/>
        <v>0.95829145728643217</v>
      </c>
      <c r="G102" s="1">
        <f t="shared" si="12"/>
        <v>0.96076806540862036</v>
      </c>
      <c r="H102" s="3"/>
      <c r="I102" s="3"/>
    </row>
    <row r="103" spans="1:9" s="4" customFormat="1">
      <c r="A103" s="8">
        <v>26</v>
      </c>
      <c r="B103" s="8" t="s">
        <v>1</v>
      </c>
      <c r="C103" s="8">
        <v>1542</v>
      </c>
      <c r="D103" s="9">
        <f t="shared" si="8"/>
        <v>1492</v>
      </c>
      <c r="E103" s="9" t="str">
        <f t="shared" si="9"/>
        <v>O</v>
      </c>
      <c r="F103" s="10">
        <f t="shared" si="10"/>
        <v>0.96757457846952011</v>
      </c>
      <c r="G103" s="1"/>
      <c r="H103" s="3"/>
      <c r="I103" s="3"/>
    </row>
    <row r="104" spans="1:9" s="4" customFormat="1">
      <c r="A104" s="8">
        <v>26</v>
      </c>
      <c r="B104" s="8" t="s">
        <v>2</v>
      </c>
      <c r="C104" s="8">
        <v>1094</v>
      </c>
      <c r="D104" s="9">
        <f t="shared" si="8"/>
        <v>1068</v>
      </c>
      <c r="E104" s="9" t="str">
        <f t="shared" si="9"/>
        <v>O</v>
      </c>
      <c r="F104" s="10">
        <f t="shared" si="10"/>
        <v>0.97623400365630708</v>
      </c>
      <c r="G104" s="1"/>
      <c r="H104" s="3"/>
      <c r="I104" s="3"/>
    </row>
    <row r="105" spans="1:9" s="4" customFormat="1">
      <c r="A105" s="8">
        <v>26</v>
      </c>
      <c r="B105" s="8" t="s">
        <v>3</v>
      </c>
      <c r="C105" s="8">
        <v>864</v>
      </c>
      <c r="D105" s="9">
        <f t="shared" si="8"/>
        <v>813</v>
      </c>
      <c r="E105" s="9" t="str">
        <f t="shared" si="9"/>
        <v>O</v>
      </c>
      <c r="F105" s="10">
        <f t="shared" si="10"/>
        <v>0.94097222222222221</v>
      </c>
      <c r="G105" s="1"/>
      <c r="H105" s="3"/>
      <c r="I105" s="3"/>
    </row>
    <row r="106" spans="1:9" s="4" customFormat="1">
      <c r="A106" s="8">
        <v>27</v>
      </c>
      <c r="B106" s="8" t="s">
        <v>0</v>
      </c>
      <c r="C106" s="8">
        <v>2132</v>
      </c>
      <c r="D106" s="9">
        <f t="shared" si="8"/>
        <v>2045</v>
      </c>
      <c r="E106" s="9" t="str">
        <f t="shared" si="9"/>
        <v>O</v>
      </c>
      <c r="F106" s="10">
        <f t="shared" si="10"/>
        <v>0.95919324577861165</v>
      </c>
      <c r="G106" s="1">
        <f t="shared" ref="G106:G114" si="13">AVERAGE(F106:F109)</f>
        <v>0.96831481397719044</v>
      </c>
      <c r="H106" s="3"/>
      <c r="I106" s="3"/>
    </row>
    <row r="107" spans="1:9" s="4" customFormat="1">
      <c r="A107" s="8">
        <v>27</v>
      </c>
      <c r="B107" s="8" t="s">
        <v>1</v>
      </c>
      <c r="C107" s="8">
        <v>1637</v>
      </c>
      <c r="D107" s="9">
        <f t="shared" si="8"/>
        <v>1601</v>
      </c>
      <c r="E107" s="9" t="str">
        <f t="shared" si="9"/>
        <v>O</v>
      </c>
      <c r="F107" s="10">
        <f t="shared" si="10"/>
        <v>0.97800855222968841</v>
      </c>
      <c r="G107" s="1"/>
      <c r="H107" s="3"/>
      <c r="I107" s="3"/>
    </row>
    <row r="108" spans="1:9" s="4" customFormat="1">
      <c r="A108" s="8">
        <v>27</v>
      </c>
      <c r="B108" s="8" t="s">
        <v>2</v>
      </c>
      <c r="C108" s="8">
        <v>1172</v>
      </c>
      <c r="D108" s="9">
        <f t="shared" si="8"/>
        <v>1146</v>
      </c>
      <c r="E108" s="9" t="str">
        <f t="shared" si="9"/>
        <v>O</v>
      </c>
      <c r="F108" s="10">
        <f t="shared" si="10"/>
        <v>0.97781569965870307</v>
      </c>
      <c r="G108" s="1"/>
      <c r="H108" s="3"/>
      <c r="I108" s="3"/>
    </row>
    <row r="109" spans="1:9" s="4" customFormat="1">
      <c r="A109" s="8">
        <v>27</v>
      </c>
      <c r="B109" s="8" t="s">
        <v>3</v>
      </c>
      <c r="C109" s="8">
        <v>910</v>
      </c>
      <c r="D109" s="9">
        <f t="shared" si="8"/>
        <v>872</v>
      </c>
      <c r="E109" s="9" t="str">
        <f t="shared" si="9"/>
        <v>O</v>
      </c>
      <c r="F109" s="10">
        <f t="shared" si="10"/>
        <v>0.95824175824175828</v>
      </c>
      <c r="G109" s="1"/>
      <c r="H109" s="3"/>
      <c r="I109" s="3"/>
    </row>
    <row r="110" spans="1:9" s="4" customFormat="1">
      <c r="A110" s="8">
        <v>28</v>
      </c>
      <c r="B110" s="8" t="s">
        <v>0</v>
      </c>
      <c r="C110" s="8">
        <v>2223</v>
      </c>
      <c r="D110" s="9">
        <f t="shared" si="8"/>
        <v>2189</v>
      </c>
      <c r="E110" s="9" t="str">
        <f t="shared" si="9"/>
        <v>O</v>
      </c>
      <c r="F110" s="10">
        <f t="shared" si="10"/>
        <v>0.98470535312640572</v>
      </c>
      <c r="G110" s="1">
        <f t="shared" si="13"/>
        <v>0.97958600355885794</v>
      </c>
      <c r="H110" s="3"/>
      <c r="I110" s="3"/>
    </row>
    <row r="111" spans="1:9" s="4" customFormat="1">
      <c r="A111" s="8">
        <v>28</v>
      </c>
      <c r="B111" s="8" t="s">
        <v>1</v>
      </c>
      <c r="C111" s="8">
        <v>1732</v>
      </c>
      <c r="D111" s="9">
        <f t="shared" si="8"/>
        <v>1713</v>
      </c>
      <c r="E111" s="9" t="str">
        <f t="shared" si="9"/>
        <v>O</v>
      </c>
      <c r="F111" s="10">
        <f t="shared" si="10"/>
        <v>0.98903002309468824</v>
      </c>
      <c r="G111" s="1"/>
      <c r="H111" s="3"/>
      <c r="I111" s="3"/>
    </row>
    <row r="112" spans="1:9" s="4" customFormat="1">
      <c r="A112" s="8">
        <v>28</v>
      </c>
      <c r="B112" s="8" t="s">
        <v>2</v>
      </c>
      <c r="C112" s="8">
        <v>1263</v>
      </c>
      <c r="D112" s="9">
        <f t="shared" si="8"/>
        <v>1226</v>
      </c>
      <c r="E112" s="9" t="str">
        <f t="shared" si="9"/>
        <v>O</v>
      </c>
      <c r="F112" s="10">
        <f t="shared" si="10"/>
        <v>0.97070467141726047</v>
      </c>
      <c r="G112" s="1"/>
      <c r="H112" s="3"/>
      <c r="I112" s="3"/>
    </row>
    <row r="113" spans="1:9" s="4" customFormat="1">
      <c r="A113" s="8">
        <v>28</v>
      </c>
      <c r="B113" s="8" t="s">
        <v>3</v>
      </c>
      <c r="C113" s="8">
        <v>958</v>
      </c>
      <c r="D113" s="9">
        <f t="shared" si="8"/>
        <v>933</v>
      </c>
      <c r="E113" s="9" t="str">
        <f t="shared" si="9"/>
        <v>O</v>
      </c>
      <c r="F113" s="10">
        <f t="shared" si="10"/>
        <v>0.97390396659707723</v>
      </c>
      <c r="G113" s="1"/>
      <c r="H113" s="3"/>
      <c r="I113" s="3"/>
    </row>
    <row r="114" spans="1:9" s="4" customFormat="1">
      <c r="A114" s="8">
        <v>29</v>
      </c>
      <c r="B114" s="8" t="s">
        <v>0</v>
      </c>
      <c r="C114" s="8">
        <v>2369</v>
      </c>
      <c r="D114" s="9">
        <f t="shared" si="8"/>
        <v>2337</v>
      </c>
      <c r="E114" s="9" t="str">
        <f t="shared" si="9"/>
        <v>O</v>
      </c>
      <c r="F114" s="10">
        <f t="shared" si="10"/>
        <v>0.98649219079780504</v>
      </c>
      <c r="G114" s="1">
        <f t="shared" si="13"/>
        <v>0.98788395701253562</v>
      </c>
      <c r="H114" s="3"/>
      <c r="I114" s="3"/>
    </row>
    <row r="115" spans="1:9" s="4" customFormat="1">
      <c r="A115" s="8">
        <v>29</v>
      </c>
      <c r="B115" s="8" t="s">
        <v>1</v>
      </c>
      <c r="C115" s="8">
        <v>1839</v>
      </c>
      <c r="D115" s="9">
        <f t="shared" si="8"/>
        <v>1829</v>
      </c>
      <c r="E115" s="9" t="str">
        <f t="shared" si="9"/>
        <v>O</v>
      </c>
      <c r="F115" s="10">
        <f t="shared" si="10"/>
        <v>0.99456226209896681</v>
      </c>
      <c r="G115" s="1"/>
      <c r="H115" s="3"/>
      <c r="I115" s="3"/>
    </row>
    <row r="116" spans="1:9" s="4" customFormat="1">
      <c r="A116" s="8">
        <v>29</v>
      </c>
      <c r="B116" s="8" t="s">
        <v>2</v>
      </c>
      <c r="C116" s="8">
        <v>1322</v>
      </c>
      <c r="D116" s="9">
        <f t="shared" si="8"/>
        <v>1309</v>
      </c>
      <c r="E116" s="9" t="str">
        <f t="shared" si="9"/>
        <v>O</v>
      </c>
      <c r="F116" s="10">
        <f t="shared" si="10"/>
        <v>0.99016641452344933</v>
      </c>
      <c r="G116" s="1"/>
      <c r="H116" s="3"/>
      <c r="I116" s="3"/>
    </row>
    <row r="117" spans="1:9" s="4" customFormat="1">
      <c r="A117" s="8">
        <v>29</v>
      </c>
      <c r="B117" s="8" t="s">
        <v>3</v>
      </c>
      <c r="C117" s="8">
        <v>1016</v>
      </c>
      <c r="D117" s="9">
        <f t="shared" si="8"/>
        <v>996</v>
      </c>
      <c r="E117" s="9" t="str">
        <f t="shared" si="9"/>
        <v>O</v>
      </c>
      <c r="F117" s="10">
        <f t="shared" si="10"/>
        <v>0.98031496062992129</v>
      </c>
      <c r="G117" s="1"/>
      <c r="H117" s="3"/>
      <c r="I117" s="3"/>
    </row>
    <row r="118" spans="1:9" s="4" customFormat="1">
      <c r="A118" s="8">
        <v>30</v>
      </c>
      <c r="B118" s="8" t="s">
        <v>0</v>
      </c>
      <c r="C118" s="8">
        <v>2520</v>
      </c>
      <c r="D118" s="9">
        <f t="shared" si="8"/>
        <v>2490</v>
      </c>
      <c r="E118" s="9" t="str">
        <f t="shared" si="9"/>
        <v>O</v>
      </c>
      <c r="F118" s="10">
        <f t="shared" si="10"/>
        <v>0.98809523809523814</v>
      </c>
      <c r="G118" s="1">
        <f t="shared" ref="G118:G126" si="14">AVERAGE(F118:F121)</f>
        <v>0.98126700154447144</v>
      </c>
      <c r="H118" s="3"/>
      <c r="I118" s="3"/>
    </row>
    <row r="119" spans="1:9" s="4" customFormat="1">
      <c r="A119" s="8">
        <v>30</v>
      </c>
      <c r="B119" s="8" t="s">
        <v>1</v>
      </c>
      <c r="C119" s="8">
        <v>1994</v>
      </c>
      <c r="D119" s="9">
        <f t="shared" si="8"/>
        <v>1949</v>
      </c>
      <c r="E119" s="9" t="str">
        <f t="shared" si="9"/>
        <v>O</v>
      </c>
      <c r="F119" s="10">
        <f t="shared" si="10"/>
        <v>0.97743229689067201</v>
      </c>
      <c r="G119" s="1"/>
      <c r="H119" s="3"/>
      <c r="I119" s="3"/>
    </row>
    <row r="120" spans="1:9" s="4" customFormat="1">
      <c r="A120" s="8">
        <v>30</v>
      </c>
      <c r="B120" s="8" t="s">
        <v>2</v>
      </c>
      <c r="C120" s="8">
        <v>1429</v>
      </c>
      <c r="D120" s="9">
        <f t="shared" si="8"/>
        <v>1395</v>
      </c>
      <c r="E120" s="9" t="str">
        <f t="shared" si="9"/>
        <v>O</v>
      </c>
      <c r="F120" s="10">
        <f t="shared" si="10"/>
        <v>0.97620713785864244</v>
      </c>
      <c r="G120" s="1"/>
      <c r="H120" s="3"/>
      <c r="I120" s="3"/>
    </row>
    <row r="121" spans="1:9" s="4" customFormat="1">
      <c r="A121" s="8">
        <v>30</v>
      </c>
      <c r="B121" s="8" t="s">
        <v>3</v>
      </c>
      <c r="C121" s="8">
        <v>1080</v>
      </c>
      <c r="D121" s="9">
        <f t="shared" si="8"/>
        <v>1062</v>
      </c>
      <c r="E121" s="9" t="str">
        <f t="shared" si="9"/>
        <v>O</v>
      </c>
      <c r="F121" s="10">
        <f t="shared" si="10"/>
        <v>0.98333333333333328</v>
      </c>
      <c r="G121" s="1"/>
      <c r="H121" s="3"/>
      <c r="I121" s="3"/>
    </row>
    <row r="122" spans="1:9" s="4" customFormat="1">
      <c r="A122" s="8">
        <v>31</v>
      </c>
      <c r="B122" s="8" t="s">
        <v>0</v>
      </c>
      <c r="C122" s="8">
        <v>2677</v>
      </c>
      <c r="D122" s="9">
        <f t="shared" si="8"/>
        <v>2648</v>
      </c>
      <c r="E122" s="9" t="str">
        <f t="shared" si="9"/>
        <v>O</v>
      </c>
      <c r="F122" s="10">
        <f t="shared" si="10"/>
        <v>0.98916697796040343</v>
      </c>
      <c r="G122" s="1">
        <f t="shared" si="14"/>
        <v>0.98532547380155189</v>
      </c>
      <c r="H122" s="3"/>
      <c r="I122" s="3"/>
    </row>
    <row r="123" spans="1:9" s="4" customFormat="1">
      <c r="A123" s="8">
        <v>31</v>
      </c>
      <c r="B123" s="8" t="s">
        <v>1</v>
      </c>
      <c r="C123" s="8">
        <v>2113</v>
      </c>
      <c r="D123" s="9">
        <f t="shared" si="8"/>
        <v>2073</v>
      </c>
      <c r="E123" s="9" t="str">
        <f t="shared" si="9"/>
        <v>O</v>
      </c>
      <c r="F123" s="10">
        <f t="shared" si="10"/>
        <v>0.98106956933270228</v>
      </c>
      <c r="G123" s="1"/>
      <c r="H123" s="3"/>
      <c r="I123" s="3"/>
    </row>
    <row r="124" spans="1:9" s="4" customFormat="1">
      <c r="A124" s="8">
        <v>31</v>
      </c>
      <c r="B124" s="8" t="s">
        <v>2</v>
      </c>
      <c r="C124" s="8">
        <v>1499</v>
      </c>
      <c r="D124" s="9">
        <f t="shared" si="8"/>
        <v>1483</v>
      </c>
      <c r="E124" s="9" t="str">
        <f t="shared" si="9"/>
        <v>O</v>
      </c>
      <c r="F124" s="10">
        <f t="shared" si="10"/>
        <v>0.98932621747831884</v>
      </c>
      <c r="G124" s="1"/>
      <c r="H124" s="3"/>
      <c r="I124" s="3"/>
    </row>
    <row r="125" spans="1:9" s="4" customFormat="1">
      <c r="A125" s="8">
        <v>31</v>
      </c>
      <c r="B125" s="8" t="s">
        <v>3</v>
      </c>
      <c r="C125" s="8">
        <v>1150</v>
      </c>
      <c r="D125" s="9">
        <f t="shared" si="8"/>
        <v>1129</v>
      </c>
      <c r="E125" s="9" t="str">
        <f t="shared" si="9"/>
        <v>O</v>
      </c>
      <c r="F125" s="10">
        <f t="shared" si="10"/>
        <v>0.98173913043478256</v>
      </c>
      <c r="G125" s="1"/>
      <c r="H125" s="3"/>
      <c r="I125" s="3"/>
    </row>
    <row r="126" spans="1:9" s="4" customFormat="1">
      <c r="A126" s="8">
        <v>32</v>
      </c>
      <c r="B126" s="8" t="s">
        <v>0</v>
      </c>
      <c r="C126" s="8">
        <v>2840</v>
      </c>
      <c r="D126" s="9">
        <f t="shared" si="8"/>
        <v>2811</v>
      </c>
      <c r="E126" s="9" t="str">
        <f t="shared" si="9"/>
        <v>O</v>
      </c>
      <c r="F126" s="10">
        <f t="shared" si="10"/>
        <v>0.98978873239436616</v>
      </c>
      <c r="G126" s="1">
        <f t="shared" si="14"/>
        <v>0.98069418013177101</v>
      </c>
      <c r="H126" s="3"/>
      <c r="I126" s="3"/>
    </row>
    <row r="127" spans="1:9" s="4" customFormat="1">
      <c r="A127" s="8">
        <v>32</v>
      </c>
      <c r="B127" s="8" t="s">
        <v>1</v>
      </c>
      <c r="C127" s="8">
        <v>2238</v>
      </c>
      <c r="D127" s="9">
        <f t="shared" si="8"/>
        <v>2200</v>
      </c>
      <c r="E127" s="9" t="str">
        <f t="shared" si="9"/>
        <v>O</v>
      </c>
      <c r="F127" s="10">
        <f t="shared" si="10"/>
        <v>0.98302055406613043</v>
      </c>
      <c r="G127" s="1"/>
      <c r="H127" s="3"/>
      <c r="I127" s="3"/>
    </row>
    <row r="128" spans="1:9" s="4" customFormat="1">
      <c r="A128" s="8">
        <v>32</v>
      </c>
      <c r="B128" s="8" t="s">
        <v>2</v>
      </c>
      <c r="C128" s="8">
        <v>1618</v>
      </c>
      <c r="D128" s="9">
        <f t="shared" si="8"/>
        <v>1574</v>
      </c>
      <c r="E128" s="9" t="str">
        <f t="shared" si="9"/>
        <v>O</v>
      </c>
      <c r="F128" s="10">
        <f t="shared" si="10"/>
        <v>0.97280593325092712</v>
      </c>
      <c r="G128" s="1"/>
      <c r="H128" s="3"/>
      <c r="I128" s="3"/>
    </row>
    <row r="129" spans="1:9" s="4" customFormat="1">
      <c r="A129" s="8">
        <v>32</v>
      </c>
      <c r="B129" s="8" t="s">
        <v>3</v>
      </c>
      <c r="C129" s="8">
        <v>1226</v>
      </c>
      <c r="D129" s="9">
        <f t="shared" si="8"/>
        <v>1198</v>
      </c>
      <c r="E129" s="9" t="str">
        <f t="shared" si="9"/>
        <v>O</v>
      </c>
      <c r="F129" s="10">
        <f t="shared" si="10"/>
        <v>0.97716150081566067</v>
      </c>
      <c r="G129" s="1"/>
      <c r="H129" s="3"/>
      <c r="I129" s="3"/>
    </row>
    <row r="130" spans="1:9" s="4" customFormat="1">
      <c r="A130" s="8">
        <v>33</v>
      </c>
      <c r="B130" s="8" t="s">
        <v>0</v>
      </c>
      <c r="C130" s="8">
        <v>3009</v>
      </c>
      <c r="D130" s="9">
        <f t="shared" si="8"/>
        <v>2979</v>
      </c>
      <c r="E130" s="9" t="str">
        <f t="shared" si="9"/>
        <v>O</v>
      </c>
      <c r="F130" s="10">
        <f t="shared" si="10"/>
        <v>0.9900299102691924</v>
      </c>
      <c r="G130" s="1">
        <f t="shared" ref="G130:G142" si="15">AVERAGE(F130:F133)</f>
        <v>0.98171418815240563</v>
      </c>
      <c r="H130" s="3"/>
      <c r="I130" s="3"/>
    </row>
    <row r="131" spans="1:9" s="4" customFormat="1">
      <c r="A131" s="8">
        <v>33</v>
      </c>
      <c r="B131" s="8" t="s">
        <v>1</v>
      </c>
      <c r="C131" s="8">
        <v>2369</v>
      </c>
      <c r="D131" s="9">
        <f t="shared" ref="D131:D161" si="16">CEILING(POWER(A131+2,2)*VLOOKUP(B131,$H$2:$I$5,2,FALSE), 1)</f>
        <v>2331</v>
      </c>
      <c r="E131" s="9" t="str">
        <f t="shared" ref="E131:E161" si="17">IF(D131&gt;C131, "X", "O")</f>
        <v>O</v>
      </c>
      <c r="F131" s="10">
        <f t="shared" ref="F131:F161" si="18">D131/C131</f>
        <v>0.98395947657239347</v>
      </c>
      <c r="G131" s="1"/>
      <c r="H131" s="3"/>
      <c r="I131" s="3"/>
    </row>
    <row r="132" spans="1:9" s="4" customFormat="1">
      <c r="A132" s="8">
        <v>33</v>
      </c>
      <c r="B132" s="8" t="s">
        <v>2</v>
      </c>
      <c r="C132" s="8">
        <v>1700</v>
      </c>
      <c r="D132" s="9">
        <f t="shared" si="16"/>
        <v>1668</v>
      </c>
      <c r="E132" s="9" t="str">
        <f t="shared" si="17"/>
        <v>O</v>
      </c>
      <c r="F132" s="10">
        <f t="shared" si="18"/>
        <v>0.98117647058823532</v>
      </c>
      <c r="G132" s="1"/>
      <c r="H132" s="3"/>
      <c r="I132" s="3"/>
    </row>
    <row r="133" spans="1:9" s="4" customFormat="1">
      <c r="A133" s="8">
        <v>33</v>
      </c>
      <c r="B133" s="8" t="s">
        <v>3</v>
      </c>
      <c r="C133" s="8">
        <v>1307</v>
      </c>
      <c r="D133" s="9">
        <f t="shared" si="16"/>
        <v>1270</v>
      </c>
      <c r="E133" s="9" t="str">
        <f t="shared" si="17"/>
        <v>O</v>
      </c>
      <c r="F133" s="10">
        <f t="shared" si="18"/>
        <v>0.97169089517980112</v>
      </c>
      <c r="G133" s="1"/>
      <c r="H133" s="3"/>
      <c r="I133" s="3"/>
    </row>
    <row r="134" spans="1:9" s="4" customFormat="1">
      <c r="A134" s="8">
        <v>34</v>
      </c>
      <c r="B134" s="8" t="s">
        <v>0</v>
      </c>
      <c r="C134" s="8">
        <v>3183</v>
      </c>
      <c r="D134" s="9">
        <f t="shared" si="16"/>
        <v>3151</v>
      </c>
      <c r="E134" s="9" t="str">
        <f t="shared" si="17"/>
        <v>O</v>
      </c>
      <c r="F134" s="10">
        <f t="shared" si="18"/>
        <v>0.98994659126610118</v>
      </c>
      <c r="G134" s="1">
        <f t="shared" si="15"/>
        <v>0.98127209937275095</v>
      </c>
      <c r="H134" s="3"/>
      <c r="I134" s="3"/>
    </row>
    <row r="135" spans="1:9" s="4" customFormat="1">
      <c r="A135" s="8">
        <v>34</v>
      </c>
      <c r="B135" s="8" t="s">
        <v>1</v>
      </c>
      <c r="C135" s="8">
        <v>2506</v>
      </c>
      <c r="D135" s="9">
        <f t="shared" si="16"/>
        <v>2466</v>
      </c>
      <c r="E135" s="9" t="str">
        <f t="shared" si="17"/>
        <v>O</v>
      </c>
      <c r="F135" s="10">
        <f t="shared" si="18"/>
        <v>0.9840383080606544</v>
      </c>
      <c r="G135" s="1"/>
      <c r="H135" s="3"/>
      <c r="I135" s="3"/>
    </row>
    <row r="136" spans="1:9" s="4" customFormat="1">
      <c r="A136" s="8">
        <v>34</v>
      </c>
      <c r="B136" s="8" t="s">
        <v>2</v>
      </c>
      <c r="C136" s="8">
        <v>1787</v>
      </c>
      <c r="D136" s="9">
        <f t="shared" si="16"/>
        <v>1765</v>
      </c>
      <c r="E136" s="9" t="str">
        <f t="shared" si="17"/>
        <v>O</v>
      </c>
      <c r="F136" s="10">
        <f t="shared" si="18"/>
        <v>0.98768886401790712</v>
      </c>
      <c r="G136" s="1"/>
      <c r="H136" s="3"/>
      <c r="I136" s="3"/>
    </row>
    <row r="137" spans="1:9" s="4" customFormat="1">
      <c r="A137" s="8">
        <v>34</v>
      </c>
      <c r="B137" s="8" t="s">
        <v>3</v>
      </c>
      <c r="C137" s="8">
        <v>1394</v>
      </c>
      <c r="D137" s="9">
        <f t="shared" si="16"/>
        <v>1343</v>
      </c>
      <c r="E137" s="9" t="str">
        <f t="shared" si="17"/>
        <v>O</v>
      </c>
      <c r="F137" s="10">
        <f t="shared" si="18"/>
        <v>0.96341463414634143</v>
      </c>
      <c r="G137" s="1"/>
      <c r="H137" s="3"/>
      <c r="I137" s="3"/>
    </row>
    <row r="138" spans="1:9" s="4" customFormat="1">
      <c r="A138" s="8">
        <v>35</v>
      </c>
      <c r="B138" s="8" t="s">
        <v>0</v>
      </c>
      <c r="C138" s="8">
        <v>3351</v>
      </c>
      <c r="D138" s="9">
        <f t="shared" si="16"/>
        <v>3329</v>
      </c>
      <c r="E138" s="9" t="str">
        <f t="shared" si="17"/>
        <v>O</v>
      </c>
      <c r="F138" s="10">
        <f t="shared" si="18"/>
        <v>0.99343479558340797</v>
      </c>
      <c r="G138" s="1">
        <f t="shared" si="15"/>
        <v>0.99329595919185176</v>
      </c>
      <c r="H138" s="3"/>
      <c r="I138" s="3"/>
    </row>
    <row r="139" spans="1:9" s="4" customFormat="1">
      <c r="A139" s="8">
        <v>35</v>
      </c>
      <c r="B139" s="8" t="s">
        <v>1</v>
      </c>
      <c r="C139" s="8">
        <v>2632</v>
      </c>
      <c r="D139" s="9">
        <f t="shared" si="16"/>
        <v>2605</v>
      </c>
      <c r="E139" s="9" t="str">
        <f t="shared" si="17"/>
        <v>O</v>
      </c>
      <c r="F139" s="10">
        <f t="shared" si="18"/>
        <v>0.98974164133738607</v>
      </c>
      <c r="G139" s="1"/>
      <c r="H139" s="3"/>
      <c r="I139" s="3"/>
    </row>
    <row r="140" spans="1:9" s="4" customFormat="1">
      <c r="A140" s="8">
        <v>35</v>
      </c>
      <c r="B140" s="8" t="s">
        <v>2</v>
      </c>
      <c r="C140" s="8">
        <v>1867</v>
      </c>
      <c r="D140" s="9">
        <f t="shared" si="16"/>
        <v>1864</v>
      </c>
      <c r="E140" s="9" t="str">
        <f t="shared" si="17"/>
        <v>O</v>
      </c>
      <c r="F140" s="10">
        <f t="shared" si="18"/>
        <v>0.998393144081414</v>
      </c>
      <c r="G140" s="1"/>
      <c r="H140" s="3"/>
      <c r="I140" s="3"/>
    </row>
    <row r="141" spans="1:9" s="4" customFormat="1">
      <c r="A141" s="8">
        <v>35</v>
      </c>
      <c r="B141" s="8" t="s">
        <v>3</v>
      </c>
      <c r="C141" s="8">
        <v>1431</v>
      </c>
      <c r="D141" s="9">
        <f t="shared" si="16"/>
        <v>1419</v>
      </c>
      <c r="E141" s="9" t="str">
        <f t="shared" si="17"/>
        <v>O</v>
      </c>
      <c r="F141" s="10">
        <f t="shared" si="18"/>
        <v>0.99161425576519913</v>
      </c>
      <c r="G141" s="1"/>
      <c r="H141" s="3"/>
      <c r="I141" s="3"/>
    </row>
    <row r="142" spans="1:9" s="4" customFormat="1">
      <c r="A142" s="8">
        <v>36</v>
      </c>
      <c r="B142" s="8" t="s">
        <v>0</v>
      </c>
      <c r="C142" s="8">
        <v>3537</v>
      </c>
      <c r="D142" s="9">
        <f t="shared" si="16"/>
        <v>3511</v>
      </c>
      <c r="E142" s="9" t="str">
        <f t="shared" si="17"/>
        <v>O</v>
      </c>
      <c r="F142" s="10">
        <f t="shared" si="18"/>
        <v>0.99264913768730567</v>
      </c>
      <c r="G142" s="1">
        <f t="shared" si="15"/>
        <v>0.98989242971735469</v>
      </c>
      <c r="H142" s="3"/>
      <c r="I142" s="3"/>
    </row>
    <row r="143" spans="1:9" s="4" customFormat="1">
      <c r="A143" s="8">
        <v>36</v>
      </c>
      <c r="B143" s="8" t="s">
        <v>1</v>
      </c>
      <c r="C143" s="8">
        <v>2780</v>
      </c>
      <c r="D143" s="9">
        <f t="shared" si="16"/>
        <v>2748</v>
      </c>
      <c r="E143" s="9" t="str">
        <f t="shared" si="17"/>
        <v>O</v>
      </c>
      <c r="F143" s="10">
        <f t="shared" si="18"/>
        <v>0.98848920863309353</v>
      </c>
      <c r="G143" s="1"/>
      <c r="H143" s="3"/>
      <c r="I143" s="3"/>
    </row>
    <row r="144" spans="1:9" s="4" customFormat="1">
      <c r="A144" s="8">
        <v>36</v>
      </c>
      <c r="B144" s="8" t="s">
        <v>2</v>
      </c>
      <c r="C144" s="8">
        <v>1966</v>
      </c>
      <c r="D144" s="9">
        <f t="shared" si="16"/>
        <v>1966</v>
      </c>
      <c r="E144" s="9" t="str">
        <f t="shared" si="17"/>
        <v>O</v>
      </c>
      <c r="F144" s="10">
        <f t="shared" si="18"/>
        <v>1</v>
      </c>
      <c r="G144" s="1"/>
      <c r="H144" s="3"/>
      <c r="I144" s="3"/>
    </row>
    <row r="145" spans="1:9" s="4" customFormat="1">
      <c r="A145" s="8">
        <v>36</v>
      </c>
      <c r="B145" s="8" t="s">
        <v>3</v>
      </c>
      <c r="C145" s="8">
        <v>1530</v>
      </c>
      <c r="D145" s="9">
        <f t="shared" si="16"/>
        <v>1497</v>
      </c>
      <c r="E145" s="9" t="str">
        <f t="shared" si="17"/>
        <v>O</v>
      </c>
      <c r="F145" s="10">
        <f t="shared" si="18"/>
        <v>0.97843137254901957</v>
      </c>
      <c r="G145" s="1"/>
      <c r="H145" s="3"/>
      <c r="I145" s="3"/>
    </row>
    <row r="146" spans="1:9" s="4" customFormat="1">
      <c r="A146" s="8">
        <v>37</v>
      </c>
      <c r="B146" s="8" t="s">
        <v>0</v>
      </c>
      <c r="C146" s="8">
        <v>3729</v>
      </c>
      <c r="D146" s="9">
        <f t="shared" si="16"/>
        <v>3698</v>
      </c>
      <c r="E146" s="9" t="str">
        <f t="shared" si="17"/>
        <v>O</v>
      </c>
      <c r="F146" s="10">
        <f t="shared" si="18"/>
        <v>0.99168677929739879</v>
      </c>
      <c r="G146" s="1">
        <f t="shared" ref="G146:G158" si="19">AVERAGE(F146:F149)</f>
        <v>0.99572182053145208</v>
      </c>
      <c r="H146" s="3"/>
      <c r="I146" s="3"/>
    </row>
    <row r="147" spans="1:9" s="4" customFormat="1">
      <c r="A147" s="8">
        <v>37</v>
      </c>
      <c r="B147" s="8" t="s">
        <v>1</v>
      </c>
      <c r="C147" s="8">
        <v>2894</v>
      </c>
      <c r="D147" s="9">
        <f t="shared" si="16"/>
        <v>2894</v>
      </c>
      <c r="E147" s="9" t="str">
        <f t="shared" si="17"/>
        <v>O</v>
      </c>
      <c r="F147" s="10">
        <f t="shared" si="18"/>
        <v>1</v>
      </c>
      <c r="G147" s="1"/>
      <c r="H147" s="3"/>
      <c r="I147" s="3"/>
    </row>
    <row r="148" spans="1:9" s="4" customFormat="1">
      <c r="A148" s="8">
        <v>37</v>
      </c>
      <c r="B148" s="8" t="s">
        <v>2</v>
      </c>
      <c r="C148" s="8">
        <v>2071</v>
      </c>
      <c r="D148" s="9">
        <f t="shared" si="16"/>
        <v>2071</v>
      </c>
      <c r="E148" s="9" t="str">
        <f t="shared" si="17"/>
        <v>O</v>
      </c>
      <c r="F148" s="10">
        <f t="shared" si="18"/>
        <v>1</v>
      </c>
      <c r="G148" s="1"/>
      <c r="H148" s="3"/>
      <c r="I148" s="3"/>
    </row>
    <row r="149" spans="1:9" s="4" customFormat="1">
      <c r="A149" s="8">
        <v>37</v>
      </c>
      <c r="B149" s="8" t="s">
        <v>3</v>
      </c>
      <c r="C149" s="8">
        <v>1591</v>
      </c>
      <c r="D149" s="9">
        <f t="shared" si="16"/>
        <v>1577</v>
      </c>
      <c r="E149" s="9" t="str">
        <f t="shared" si="17"/>
        <v>O</v>
      </c>
      <c r="F149" s="10">
        <f t="shared" si="18"/>
        <v>0.99120050282840977</v>
      </c>
      <c r="G149" s="1"/>
      <c r="H149" s="3"/>
      <c r="I149" s="3"/>
    </row>
    <row r="150" spans="1:9" s="4" customFormat="1">
      <c r="A150" s="8">
        <v>38</v>
      </c>
      <c r="B150" s="8" t="s">
        <v>0</v>
      </c>
      <c r="C150" s="8">
        <v>3927</v>
      </c>
      <c r="D150" s="9">
        <f t="shared" si="16"/>
        <v>3891</v>
      </c>
      <c r="E150" s="9" t="str">
        <f t="shared" si="17"/>
        <v>O</v>
      </c>
      <c r="F150" s="10">
        <f t="shared" si="18"/>
        <v>0.9908326967150497</v>
      </c>
      <c r="G150" s="1">
        <f t="shared" si="19"/>
        <v>0.99674218283901728</v>
      </c>
      <c r="H150" s="3"/>
      <c r="I150" s="3"/>
    </row>
    <row r="151" spans="1:9" s="4" customFormat="1">
      <c r="A151" s="8">
        <v>38</v>
      </c>
      <c r="B151" s="8" t="s">
        <v>1</v>
      </c>
      <c r="C151" s="8">
        <v>3054</v>
      </c>
      <c r="D151" s="9">
        <f t="shared" si="16"/>
        <v>3045</v>
      </c>
      <c r="E151" s="9" t="str">
        <f t="shared" si="17"/>
        <v>O</v>
      </c>
      <c r="F151" s="10">
        <f t="shared" si="18"/>
        <v>0.99705304518664051</v>
      </c>
      <c r="G151" s="1"/>
      <c r="H151" s="3"/>
      <c r="I151" s="3"/>
    </row>
    <row r="152" spans="1:9" s="4" customFormat="1">
      <c r="A152" s="8">
        <v>38</v>
      </c>
      <c r="B152" s="8" t="s">
        <v>2</v>
      </c>
      <c r="C152" s="8">
        <v>2181</v>
      </c>
      <c r="D152" s="9">
        <f t="shared" si="16"/>
        <v>2179</v>
      </c>
      <c r="E152" s="9" t="str">
        <f t="shared" si="17"/>
        <v>O</v>
      </c>
      <c r="F152" s="10">
        <f t="shared" si="18"/>
        <v>0.99908298945437868</v>
      </c>
      <c r="G152" s="1"/>
      <c r="H152" s="3"/>
      <c r="I152" s="3"/>
    </row>
    <row r="153" spans="1:9" s="4" customFormat="1">
      <c r="A153" s="8">
        <v>38</v>
      </c>
      <c r="B153" s="8" t="s">
        <v>3</v>
      </c>
      <c r="C153" s="8">
        <v>1658</v>
      </c>
      <c r="D153" s="9">
        <f t="shared" si="16"/>
        <v>1658</v>
      </c>
      <c r="E153" s="9" t="str">
        <f t="shared" si="17"/>
        <v>O</v>
      </c>
      <c r="F153" s="10">
        <f t="shared" si="18"/>
        <v>1</v>
      </c>
      <c r="G153" s="1"/>
      <c r="H153" s="3"/>
      <c r="I153" s="3"/>
    </row>
    <row r="154" spans="1:9" s="4" customFormat="1">
      <c r="A154" s="8">
        <v>39</v>
      </c>
      <c r="B154" s="8" t="s">
        <v>0</v>
      </c>
      <c r="C154" s="8">
        <v>4087</v>
      </c>
      <c r="D154" s="9">
        <f t="shared" si="16"/>
        <v>4087</v>
      </c>
      <c r="E154" s="9" t="str">
        <f t="shared" si="17"/>
        <v>O</v>
      </c>
      <c r="F154" s="10">
        <f t="shared" si="18"/>
        <v>1</v>
      </c>
      <c r="G154" s="1">
        <f t="shared" si="19"/>
        <v>0.99288087008226567</v>
      </c>
      <c r="H154" s="3"/>
      <c r="I154" s="3"/>
    </row>
    <row r="155" spans="1:9" s="4" customFormat="1">
      <c r="A155" s="8">
        <v>39</v>
      </c>
      <c r="B155" s="8" t="s">
        <v>1</v>
      </c>
      <c r="C155" s="8">
        <v>3220</v>
      </c>
      <c r="D155" s="9">
        <f t="shared" si="16"/>
        <v>3199</v>
      </c>
      <c r="E155" s="9" t="str">
        <f t="shared" si="17"/>
        <v>O</v>
      </c>
      <c r="F155" s="10">
        <f t="shared" si="18"/>
        <v>0.99347826086956526</v>
      </c>
      <c r="G155" s="1"/>
      <c r="H155" s="3"/>
      <c r="I155" s="3"/>
    </row>
    <row r="156" spans="1:9" s="4" customFormat="1">
      <c r="A156" s="8">
        <v>39</v>
      </c>
      <c r="B156" s="8" t="s">
        <v>2</v>
      </c>
      <c r="C156" s="8">
        <v>2298</v>
      </c>
      <c r="D156" s="9">
        <f t="shared" si="16"/>
        <v>2289</v>
      </c>
      <c r="E156" s="9" t="str">
        <f t="shared" si="17"/>
        <v>O</v>
      </c>
      <c r="F156" s="10">
        <f t="shared" si="18"/>
        <v>0.99608355091383816</v>
      </c>
      <c r="G156" s="1"/>
      <c r="H156" s="3"/>
      <c r="I156" s="3"/>
    </row>
    <row r="157" spans="1:9" s="4" customFormat="1">
      <c r="A157" s="8">
        <v>39</v>
      </c>
      <c r="B157" s="8" t="s">
        <v>3</v>
      </c>
      <c r="C157" s="8">
        <v>1774</v>
      </c>
      <c r="D157" s="9">
        <f t="shared" si="16"/>
        <v>1742</v>
      </c>
      <c r="E157" s="9" t="str">
        <f t="shared" si="17"/>
        <v>O</v>
      </c>
      <c r="F157" s="10">
        <f t="shared" si="18"/>
        <v>0.98196166854565947</v>
      </c>
      <c r="G157" s="1"/>
      <c r="H157" s="3"/>
      <c r="I157" s="3"/>
    </row>
    <row r="158" spans="1:9" s="4" customFormat="1">
      <c r="A158" s="8">
        <v>40</v>
      </c>
      <c r="B158" s="8" t="s">
        <v>0</v>
      </c>
      <c r="C158" s="8">
        <v>4296</v>
      </c>
      <c r="D158" s="9">
        <f t="shared" si="16"/>
        <v>4289</v>
      </c>
      <c r="E158" s="9" t="str">
        <f t="shared" si="17"/>
        <v>O</v>
      </c>
      <c r="F158" s="10">
        <f t="shared" si="18"/>
        <v>0.99837057728119183</v>
      </c>
      <c r="G158" s="1">
        <f t="shared" si="19"/>
        <v>0.99198676415647991</v>
      </c>
      <c r="H158" s="3"/>
      <c r="I158" s="3"/>
    </row>
    <row r="159" spans="1:9" s="4" customFormat="1">
      <c r="A159" s="8">
        <v>40</v>
      </c>
      <c r="B159" s="8" t="s">
        <v>1</v>
      </c>
      <c r="C159" s="8">
        <v>3391</v>
      </c>
      <c r="D159" s="9">
        <f t="shared" si="16"/>
        <v>3357</v>
      </c>
      <c r="E159" s="9" t="str">
        <f t="shared" si="17"/>
        <v>O</v>
      </c>
      <c r="F159" s="10">
        <f t="shared" si="18"/>
        <v>0.98997345915659096</v>
      </c>
      <c r="G159" s="1"/>
      <c r="H159" s="3"/>
      <c r="I159" s="3"/>
    </row>
    <row r="160" spans="1:9" s="4" customFormat="1">
      <c r="A160" s="8">
        <v>40</v>
      </c>
      <c r="B160" s="8" t="s">
        <v>2</v>
      </c>
      <c r="C160" s="8">
        <v>2420</v>
      </c>
      <c r="D160" s="9">
        <f t="shared" si="16"/>
        <v>2402</v>
      </c>
      <c r="E160" s="9" t="str">
        <f t="shared" si="17"/>
        <v>O</v>
      </c>
      <c r="F160" s="10">
        <f t="shared" si="18"/>
        <v>0.99256198347107438</v>
      </c>
      <c r="G160" s="1"/>
      <c r="H160" s="3"/>
      <c r="I160" s="3"/>
    </row>
    <row r="161" spans="1:9" s="4" customFormat="1">
      <c r="A161" s="8">
        <v>40</v>
      </c>
      <c r="B161" s="8" t="s">
        <v>3</v>
      </c>
      <c r="C161" s="8">
        <v>1852</v>
      </c>
      <c r="D161" s="9">
        <f t="shared" si="16"/>
        <v>1828</v>
      </c>
      <c r="E161" s="9" t="str">
        <f t="shared" si="17"/>
        <v>O</v>
      </c>
      <c r="F161" s="10">
        <f t="shared" si="18"/>
        <v>0.98704103671706267</v>
      </c>
      <c r="G161" s="1"/>
      <c r="H161" s="3"/>
      <c r="I161" s="3"/>
    </row>
  </sheetData>
  <mergeCells count="41">
    <mergeCell ref="G146:G149"/>
    <mergeCell ref="G150:G153"/>
    <mergeCell ref="G154:G157"/>
    <mergeCell ref="G158:G161"/>
    <mergeCell ref="H1:I1"/>
    <mergeCell ref="G122:G125"/>
    <mergeCell ref="G126:G129"/>
    <mergeCell ref="G130:G133"/>
    <mergeCell ref="G134:G137"/>
    <mergeCell ref="G138:G141"/>
    <mergeCell ref="G142:G145"/>
    <mergeCell ref="G98:G101"/>
    <mergeCell ref="G102:G105"/>
    <mergeCell ref="G106:G109"/>
    <mergeCell ref="G110:G113"/>
    <mergeCell ref="G114:G117"/>
    <mergeCell ref="G118:G121"/>
    <mergeCell ref="G74:G77"/>
    <mergeCell ref="G78:G81"/>
    <mergeCell ref="G82:G85"/>
    <mergeCell ref="G86:G89"/>
    <mergeCell ref="G90:G93"/>
    <mergeCell ref="G94:G97"/>
    <mergeCell ref="G50:G53"/>
    <mergeCell ref="G54:G57"/>
    <mergeCell ref="G58:G61"/>
    <mergeCell ref="G62:G65"/>
    <mergeCell ref="G66:G69"/>
    <mergeCell ref="G70:G73"/>
    <mergeCell ref="G26:G29"/>
    <mergeCell ref="G30:G33"/>
    <mergeCell ref="G34:G37"/>
    <mergeCell ref="G38:G41"/>
    <mergeCell ref="G42:G45"/>
    <mergeCell ref="G46:G49"/>
    <mergeCell ref="G2:G5"/>
    <mergeCell ref="G6:G9"/>
    <mergeCell ref="G10:G13"/>
    <mergeCell ref="G14:G17"/>
    <mergeCell ref="G18:G21"/>
    <mergeCell ref="G22:G25"/>
  </mergeCells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2016-12-01T06:26:25Z</dcterms:created>
  <dcterms:modified xsi:type="dcterms:W3CDTF">2016-12-01T07:24:32Z</dcterms:modified>
</cp:coreProperties>
</file>